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Antigravity_PJT\공수산정\"/>
    </mc:Choice>
  </mc:AlternateContent>
  <xr:revisionPtr revIDLastSave="0" documentId="13_ncr:1_{907F4C2C-2B67-48D1-9F61-3318A9A394B8}" xr6:coauthVersionLast="47" xr6:coauthVersionMax="47" xr10:uidLastSave="{00000000-0000-0000-0000-000000000000}"/>
  <bookViews>
    <workbookView xWindow="-120" yWindow="-120" windowWidth="38640" windowHeight="21120" tabRatio="391" xr2:uid="{00000000-000D-0000-FFFF-FFFF00000000}"/>
  </bookViews>
  <sheets>
    <sheet name="4.WBS" sheetId="19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" i="19" l="1"/>
  <c r="P5" i="19" s="1"/>
  <c r="Q5" i="19" l="1"/>
  <c r="T5" i="19"/>
  <c r="X5" i="19" s="1"/>
  <c r="L5" i="19"/>
  <c r="M5" i="19" s="1"/>
  <c r="N5" i="19" s="1"/>
  <c r="O5" i="19" s="1"/>
  <c r="R5" i="19" l="1"/>
  <c r="S5" i="19" s="1"/>
  <c r="W5" i="19" s="1"/>
  <c r="U5" i="19"/>
  <c r="V5" i="19" l="1"/>
</calcChain>
</file>

<file path=xl/sharedStrings.xml><?xml version="1.0" encoding="utf-8"?>
<sst xmlns="http://schemas.openxmlformats.org/spreadsheetml/2006/main" count="195" uniqueCount="119">
  <si>
    <t>수행 일정</t>
    <phoneticPr fontId="20" type="noConversion"/>
  </si>
  <si>
    <t>비 고</t>
    <phoneticPr fontId="20" type="noConversion"/>
  </si>
  <si>
    <t>담당자</t>
    <phoneticPr fontId="20" type="noConversion"/>
  </si>
  <si>
    <t>산출물</t>
    <phoneticPr fontId="20" type="noConversion"/>
  </si>
  <si>
    <t>기간
(일)</t>
    <phoneticPr fontId="26" type="noConversion"/>
  </si>
  <si>
    <t>Activities</t>
    <phoneticPr fontId="20" type="noConversion"/>
  </si>
  <si>
    <t>단계</t>
    <phoneticPr fontId="20" type="noConversion"/>
  </si>
  <si>
    <t>진도율</t>
    <phoneticPr fontId="20" type="noConversion"/>
  </si>
  <si>
    <t>주요 마일스톤</t>
    <phoneticPr fontId="20" type="noConversion"/>
  </si>
  <si>
    <t>개시일</t>
    <phoneticPr fontId="20" type="noConversion"/>
  </si>
  <si>
    <t>시작일</t>
    <phoneticPr fontId="20" type="noConversion"/>
  </si>
  <si>
    <t>완료일</t>
    <phoneticPr fontId="20" type="noConversion"/>
  </si>
  <si>
    <t>서버 설치 및 OS, 필수 라이브러리 설치 및 구성</t>
    <phoneticPr fontId="20" type="noConversion"/>
  </si>
  <si>
    <t>Standby Server 구성, Active-Standby 구성</t>
    <phoneticPr fontId="20" type="noConversion"/>
  </si>
  <si>
    <t>Primary Server 구성, DB설치</t>
    <phoneticPr fontId="20" type="noConversion"/>
  </si>
  <si>
    <t>M3</t>
  </si>
  <si>
    <t>M4</t>
  </si>
  <si>
    <t>M5</t>
  </si>
  <si>
    <t>M6</t>
  </si>
  <si>
    <t>M7</t>
  </si>
  <si>
    <t>M8</t>
  </si>
  <si>
    <t>M9</t>
  </si>
  <si>
    <t>M10</t>
  </si>
  <si>
    <t>서비스 Cutover 후 발생하는 이슈 대응 및 모니터링</t>
  </si>
  <si>
    <t>EPAS 제품관련 운영자/개발자 교육 진행</t>
  </si>
  <si>
    <t>M11</t>
  </si>
  <si>
    <t>M12</t>
  </si>
  <si>
    <t>M13</t>
  </si>
  <si>
    <t>M14</t>
  </si>
  <si>
    <t>TAM</t>
    <phoneticPr fontId="20" type="noConversion"/>
  </si>
  <si>
    <t>Read Replica , DR 구성</t>
    <phoneticPr fontId="20" type="noConversion"/>
  </si>
  <si>
    <t>M1</t>
    <phoneticPr fontId="25" type="noConversion"/>
  </si>
  <si>
    <t>M2</t>
    <phoneticPr fontId="25" type="noConversion"/>
  </si>
  <si>
    <t>1 EPAS 환경 구성</t>
    <phoneticPr fontId="25" type="noConversion"/>
  </si>
  <si>
    <t>2 Failover, 장애/복구 테스트</t>
    <phoneticPr fontId="25" type="noConversion"/>
  </si>
  <si>
    <t>TAM</t>
    <phoneticPr fontId="25" type="noConversion"/>
  </si>
  <si>
    <t>2.1 Failover 테스트</t>
    <phoneticPr fontId="20" type="noConversion"/>
  </si>
  <si>
    <t>설치완료문서</t>
    <phoneticPr fontId="25" type="noConversion"/>
  </si>
  <si>
    <t>failover테스트 문서</t>
    <phoneticPr fontId="25" type="noConversion"/>
  </si>
  <si>
    <t>1.1 EPAS 서버 구성</t>
    <phoneticPr fontId="20" type="noConversion"/>
  </si>
  <si>
    <t>2.2 장애/복구 테스트</t>
    <phoneticPr fontId="20" type="noConversion"/>
  </si>
  <si>
    <t>1. 사전구성</t>
    <phoneticPr fontId="25" type="noConversion"/>
  </si>
  <si>
    <t>2. 구성환경 테스트</t>
    <phoneticPr fontId="20" type="noConversion"/>
  </si>
  <si>
    <t>3 Database 구성</t>
    <phoneticPr fontId="26" type="noConversion"/>
  </si>
  <si>
    <t>3.1 스키마 마이그레이션</t>
    <phoneticPr fontId="20" type="noConversion"/>
  </si>
  <si>
    <t>TAM / RP</t>
    <phoneticPr fontId="20" type="noConversion"/>
  </si>
  <si>
    <t>3. 분석/진단</t>
    <phoneticPr fontId="25" type="noConversion"/>
  </si>
  <si>
    <t>4. 데이터 이관</t>
    <phoneticPr fontId="25" type="noConversion"/>
  </si>
  <si>
    <t>xlog를 이용한 데이터 마이그레이션</t>
    <phoneticPr fontId="20" type="noConversion"/>
  </si>
  <si>
    <t>XLOG</t>
    <phoneticPr fontId="20" type="noConversion"/>
  </si>
  <si>
    <t>xlog를 이용한 데이터 이관 시 문제 지원</t>
    <phoneticPr fontId="20" type="noConversion"/>
  </si>
  <si>
    <t>XLOG / TAM / RP</t>
    <phoneticPr fontId="20" type="noConversion"/>
  </si>
  <si>
    <t>이관 데이터 검증</t>
    <phoneticPr fontId="20" type="noConversion"/>
  </si>
  <si>
    <t>OBJECT 검증 결과 문서</t>
    <phoneticPr fontId="20" type="noConversion"/>
  </si>
  <si>
    <t>TAM</t>
    <phoneticPr fontId="20" type="noConversion"/>
  </si>
  <si>
    <t>AUTOEVER</t>
    <phoneticPr fontId="20" type="noConversion"/>
  </si>
  <si>
    <t>[PRD] Failover 테스트 수행</t>
    <phoneticPr fontId="20" type="noConversion"/>
  </si>
  <si>
    <t>TAM / MCCS</t>
    <phoneticPr fontId="20" type="noConversion"/>
  </si>
  <si>
    <t>TAM / MCCS</t>
    <phoneticPr fontId="25" type="noConversion"/>
  </si>
  <si>
    <t>[PRD] Case별 장애/복구 테스트 수행</t>
    <phoneticPr fontId="20" type="noConversion"/>
  </si>
  <si>
    <t xml:space="preserve">[DEV,STG,PRD] Migration Portal을 이용한 Object 전환 수행 (DDL 추출) </t>
    <phoneticPr fontId="20" type="noConversion"/>
  </si>
  <si>
    <t>[DEV,STG,PRD] Object 개수 체크</t>
    <phoneticPr fontId="20" type="noConversion"/>
  </si>
  <si>
    <t>4.1 DEV 데이터 마이그레이션</t>
    <phoneticPr fontId="20" type="noConversion"/>
  </si>
  <si>
    <t>4.2 STG 데이터 마이그레이션</t>
    <phoneticPr fontId="20" type="noConversion"/>
  </si>
  <si>
    <t>[DEV,STG,PRD] EPAS에 맞게 전환된 DDL 반영</t>
    <phoneticPr fontId="20" type="noConversion"/>
  </si>
  <si>
    <t>변환 DDL</t>
    <phoneticPr fontId="20" type="noConversion"/>
  </si>
  <si>
    <t>4.3 PRD 데이터 마이그레이션</t>
    <phoneticPr fontId="20" type="noConversion"/>
  </si>
  <si>
    <t>4 데이터 이관 및 정합성 체크</t>
    <phoneticPr fontId="20" type="noConversion"/>
  </si>
  <si>
    <t>5. 어플리케이션 검증 및 튜닝</t>
    <phoneticPr fontId="25" type="noConversion"/>
  </si>
  <si>
    <t>PRD EPAS Meta backup</t>
    <phoneticPr fontId="20" type="noConversion"/>
  </si>
  <si>
    <t>PRD DB 초기화 후 Meta 구성</t>
    <phoneticPr fontId="20" type="noConversion"/>
  </si>
  <si>
    <t>Xlog를 이용한 데이터 현행화</t>
    <phoneticPr fontId="20" type="noConversion"/>
  </si>
  <si>
    <t>RP</t>
    <phoneticPr fontId="20" type="noConversion"/>
  </si>
  <si>
    <t>5.2 단위 테스트</t>
    <phoneticPr fontId="20" type="noConversion"/>
  </si>
  <si>
    <t>단위 테스트 진행</t>
    <phoneticPr fontId="20" type="noConversion"/>
  </si>
  <si>
    <t>성능 모니터링 / TOP-SQL 추출 및 전달</t>
    <phoneticPr fontId="20" type="noConversion"/>
  </si>
  <si>
    <t>파라미터 튜닝</t>
    <phoneticPr fontId="20" type="noConversion"/>
  </si>
  <si>
    <t>PS</t>
    <phoneticPr fontId="20" type="noConversion"/>
  </si>
  <si>
    <t>PS / RP</t>
    <phoneticPr fontId="20" type="noConversion"/>
  </si>
  <si>
    <t>5.4 1차 통합 테스트</t>
    <phoneticPr fontId="20" type="noConversion"/>
  </si>
  <si>
    <t>TOP-SQL</t>
    <phoneticPr fontId="20" type="noConversion"/>
  </si>
  <si>
    <t>파라미터 수정안</t>
    <phoneticPr fontId="20" type="noConversion"/>
  </si>
  <si>
    <t>6. 데이터 현행화</t>
    <phoneticPr fontId="25" type="noConversion"/>
  </si>
  <si>
    <t>6 최종 데이터 현행화</t>
    <phoneticPr fontId="20" type="noConversion"/>
  </si>
  <si>
    <t>6.1 DEV 데이터 현행화</t>
    <phoneticPr fontId="20" type="noConversion"/>
  </si>
  <si>
    <t>EPAS Meta backup</t>
    <phoneticPr fontId="20" type="noConversion"/>
  </si>
  <si>
    <t>DB 초기화 후 Meta 구성</t>
    <phoneticPr fontId="20" type="noConversion"/>
  </si>
  <si>
    <t>6.2 STG 데이터 현행화</t>
    <phoneticPr fontId="20" type="noConversion"/>
  </si>
  <si>
    <t>6.3 PRD 데이터 연동</t>
    <phoneticPr fontId="20" type="noConversion"/>
  </si>
  <si>
    <t>Xlog를 이용한 데이터 연동</t>
    <phoneticPr fontId="20" type="noConversion"/>
  </si>
  <si>
    <t>7. 교육 및 기술이전</t>
    <phoneticPr fontId="20" type="noConversion"/>
  </si>
  <si>
    <t>case별 장애 복구 대응 문서</t>
    <phoneticPr fontId="20" type="noConversion"/>
  </si>
  <si>
    <t>2.2 산출물 + EPAS 제품에 대한 글로벌 장애 case 등 사례 발표 및 discussing</t>
    <phoneticPr fontId="20" type="noConversion"/>
  </si>
  <si>
    <t>PS / RP / AUTOEVER</t>
    <phoneticPr fontId="20" type="noConversion"/>
  </si>
  <si>
    <t>8. 서비스 오픈 및 안정화</t>
    <phoneticPr fontId="20" type="noConversion"/>
  </si>
  <si>
    <t>8.1.1 서비스 모니터링</t>
    <phoneticPr fontId="20" type="noConversion"/>
  </si>
  <si>
    <t>1.2 DEV 구성</t>
    <phoneticPr fontId="20" type="noConversion"/>
  </si>
  <si>
    <t>1.3 STG 구성</t>
    <phoneticPr fontId="20" type="noConversion"/>
  </si>
  <si>
    <t>1.4 PRD 구성</t>
    <phoneticPr fontId="20" type="noConversion"/>
  </si>
  <si>
    <t>Server 구성, DB 설치</t>
    <phoneticPr fontId="20" type="noConversion"/>
  </si>
  <si>
    <t>5 데이터 현행화 및 어플리케이션 테스트</t>
    <phoneticPr fontId="20" type="noConversion"/>
  </si>
  <si>
    <t>5.1 PRD 현행화</t>
    <phoneticPr fontId="20" type="noConversion"/>
  </si>
  <si>
    <t>5.3 PRD 현행화</t>
    <phoneticPr fontId="20" type="noConversion"/>
  </si>
  <si>
    <t>5.5 PRD 현행화</t>
    <phoneticPr fontId="20" type="noConversion"/>
  </si>
  <si>
    <t>5.6 2차 통합 테스트</t>
    <phoneticPr fontId="20" type="noConversion"/>
  </si>
  <si>
    <t>7 제품 교육 및 EDB 기술 세미나</t>
    <phoneticPr fontId="20" type="noConversion"/>
  </si>
  <si>
    <t xml:space="preserve">7.1 EPAS 장애 Case 별 복구 및 대응 교육 진행 </t>
    <phoneticPr fontId="20" type="noConversion"/>
  </si>
  <si>
    <t>7.2 EPAS 교육(운영자/개발자)</t>
    <phoneticPr fontId="20" type="noConversion"/>
  </si>
  <si>
    <t>8 서비스 Cutover &amp; 모니터링</t>
    <phoneticPr fontId="20" type="noConversion"/>
  </si>
  <si>
    <t>8.1 서비스 Cutover</t>
    <phoneticPr fontId="20" type="noConversion"/>
  </si>
  <si>
    <t>AS-IS DB Down</t>
    <phoneticPr fontId="20" type="noConversion"/>
  </si>
  <si>
    <t>Application Down 및 세션 종료 확인</t>
    <phoneticPr fontId="20" type="noConversion"/>
  </si>
  <si>
    <t>XLOG / AUTOEVER</t>
    <phoneticPr fontId="20" type="noConversion"/>
  </si>
  <si>
    <t xml:space="preserve">데이터 동기화 확인 및 데이터 검증 후 CDC 종료 </t>
    <phoneticPr fontId="20" type="noConversion"/>
  </si>
  <si>
    <t>Application 기동</t>
    <phoneticPr fontId="20" type="noConversion"/>
  </si>
  <si>
    <t>AUTOEVER / RP / PS</t>
    <phoneticPr fontId="20" type="noConversion"/>
  </si>
  <si>
    <t>서비스 정상 여부 체크 및 모니터링</t>
    <phoneticPr fontId="20" type="noConversion"/>
  </si>
  <si>
    <t>서비스 정상 시작 및 모니터링</t>
    <phoneticPr fontId="20" type="noConversion"/>
  </si>
  <si>
    <t>교육 문서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</si>
</sst>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_);[Red]\(0\)"/>
    <numFmt numFmtId="177" formatCode="m&quot;월&quot;\ d&quot;일&quot;;@"/>
    <numFmt numFmtId="178" formatCode="mm&quot;월&quot;\ dd&quot;일&quot;"/>
    <numFmt numFmtId="179" formatCode="yy&quot;/&quot;m&quot;/&quot;d;@"/>
  </numFmts>
  <fonts count="49" x14ac:knownFonts="1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indexed="8"/>
      <name val="맑은 고딕"/>
      <family val="3"/>
      <charset val="129"/>
    </font>
    <font>
      <sz val="11"/>
      <color indexed="8"/>
      <name val="맑은 고딕"/>
      <family val="3"/>
    </font>
    <font>
      <sz val="11"/>
      <color indexed="9"/>
      <name val="맑은 고딕"/>
      <family val="3"/>
    </font>
    <font>
      <sz val="11"/>
      <color indexed="20"/>
      <name val="맑은 고딕"/>
      <family val="3"/>
    </font>
    <font>
      <b/>
      <sz val="11"/>
      <color indexed="52"/>
      <name val="맑은 고딕"/>
      <family val="3"/>
    </font>
    <font>
      <b/>
      <sz val="11"/>
      <color indexed="9"/>
      <name val="맑은 고딕"/>
      <family val="3"/>
    </font>
    <font>
      <i/>
      <sz val="11"/>
      <color indexed="23"/>
      <name val="맑은 고딕"/>
      <family val="3"/>
    </font>
    <font>
      <sz val="11"/>
      <color indexed="17"/>
      <name val="맑은 고딕"/>
      <family val="3"/>
    </font>
    <font>
      <b/>
      <sz val="15"/>
      <color indexed="56"/>
      <name val="맑은 고딕"/>
      <family val="3"/>
    </font>
    <font>
      <b/>
      <sz val="13"/>
      <color indexed="56"/>
      <name val="맑은 고딕"/>
      <family val="3"/>
    </font>
    <font>
      <b/>
      <sz val="11"/>
      <color indexed="56"/>
      <name val="맑은 고딕"/>
      <family val="3"/>
    </font>
    <font>
      <sz val="11"/>
      <color indexed="62"/>
      <name val="맑은 고딕"/>
      <family val="3"/>
    </font>
    <font>
      <sz val="11"/>
      <color indexed="52"/>
      <name val="맑은 고딕"/>
      <family val="3"/>
    </font>
    <font>
      <sz val="11"/>
      <color indexed="60"/>
      <name val="맑은 고딕"/>
      <family val="3"/>
    </font>
    <font>
      <b/>
      <sz val="11"/>
      <color indexed="63"/>
      <name val="맑은 고딕"/>
      <family val="3"/>
    </font>
    <font>
      <b/>
      <sz val="18"/>
      <color indexed="56"/>
      <name val="맑은 고딕"/>
      <family val="3"/>
    </font>
    <font>
      <b/>
      <sz val="11"/>
      <color indexed="8"/>
      <name val="맑은 고딕"/>
      <family val="3"/>
    </font>
    <font>
      <sz val="11"/>
      <color indexed="10"/>
      <name val="맑은 고딕"/>
      <family val="3"/>
    </font>
    <font>
      <sz val="8"/>
      <name val="맑은 고딕"/>
      <family val="3"/>
      <charset val="129"/>
    </font>
    <font>
      <sz val="11"/>
      <color indexed="8"/>
      <name val="맑은 고딕"/>
      <family val="3"/>
      <charset val="129"/>
    </font>
    <font>
      <b/>
      <sz val="10"/>
      <color indexed="8"/>
      <name val="맑은 고딕"/>
      <family val="3"/>
      <charset val="129"/>
    </font>
    <font>
      <sz val="9"/>
      <color indexed="8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8"/>
      <color indexed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</fonts>
  <fills count="6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9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double">
        <color rgb="FFFF0000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double">
        <color rgb="FFFF0000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double">
        <color rgb="FFFF0000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double">
        <color rgb="FFFF0000"/>
      </right>
      <top style="hair">
        <color indexed="64"/>
      </top>
      <bottom/>
      <diagonal/>
    </border>
    <border>
      <left style="hair">
        <color indexed="64"/>
      </left>
      <right style="double">
        <color rgb="FFFF0000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rgb="FFFF0000"/>
      </right>
      <top style="thin">
        <color indexed="64"/>
      </top>
      <bottom/>
      <diagonal/>
    </border>
    <border>
      <left style="hair">
        <color indexed="64"/>
      </left>
      <right style="double">
        <color rgb="FFFF0000"/>
      </right>
      <top/>
      <bottom style="hair">
        <color indexed="64"/>
      </bottom>
      <diagonal/>
    </border>
    <border>
      <left style="hair">
        <color indexed="64"/>
      </left>
      <right style="double">
        <color rgb="FFFF0000"/>
      </right>
      <top/>
      <bottom/>
      <diagonal/>
    </border>
    <border>
      <left style="hair">
        <color indexed="64"/>
      </left>
      <right style="double">
        <color rgb="FFFF0000"/>
      </right>
      <top style="hair">
        <color indexed="64"/>
      </top>
      <bottom style="thin">
        <color indexed="64"/>
      </bottom>
      <diagonal/>
    </border>
  </borders>
  <cellStyleXfs count="85">
    <xf numFmtId="0" fontId="0" fillId="0" borderId="0">
      <alignment vertical="center"/>
    </xf>
    <xf numFmtId="0" fontId="3" fillId="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6" fillId="20" borderId="1" applyNumberFormat="0" applyAlignment="0" applyProtection="0">
      <alignment vertical="center"/>
    </xf>
    <xf numFmtId="0" fontId="7" fillId="23" borderId="3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1" applyNumberFormat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3" fillId="21" borderId="2" applyNumberFormat="0" applyFont="0" applyAlignment="0" applyProtection="0">
      <alignment vertical="center"/>
    </xf>
    <xf numFmtId="0" fontId="16" fillId="20" borderId="9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" fillId="0" borderId="0"/>
    <xf numFmtId="0" fontId="32" fillId="0" borderId="0">
      <alignment vertical="center"/>
    </xf>
    <xf numFmtId="0" fontId="32" fillId="39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7" borderId="0" applyNumberFormat="0" applyBorder="0" applyAlignment="0" applyProtection="0">
      <alignment vertical="center"/>
    </xf>
    <xf numFmtId="0" fontId="32" fillId="51" borderId="0" applyNumberFormat="0" applyBorder="0" applyAlignment="0" applyProtection="0">
      <alignment vertical="center"/>
    </xf>
    <xf numFmtId="0" fontId="32" fillId="55" borderId="0" applyNumberFormat="0" applyBorder="0" applyAlignment="0" applyProtection="0">
      <alignment vertical="center"/>
    </xf>
    <xf numFmtId="0" fontId="32" fillId="59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2" fillId="44" borderId="0" applyNumberFormat="0" applyBorder="0" applyAlignment="0" applyProtection="0">
      <alignment vertical="center"/>
    </xf>
    <xf numFmtId="0" fontId="32" fillId="48" borderId="0" applyNumberFormat="0" applyBorder="0" applyAlignment="0" applyProtection="0">
      <alignment vertical="center"/>
    </xf>
    <xf numFmtId="0" fontId="32" fillId="52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32" fillId="60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45" borderId="0" applyNumberFormat="0" applyBorder="0" applyAlignment="0" applyProtection="0">
      <alignment vertical="center"/>
    </xf>
    <xf numFmtId="0" fontId="33" fillId="49" borderId="0" applyNumberFormat="0" applyBorder="0" applyAlignment="0" applyProtection="0">
      <alignment vertical="center"/>
    </xf>
    <xf numFmtId="0" fontId="33" fillId="53" borderId="0" applyNumberFormat="0" applyBorder="0" applyAlignment="0" applyProtection="0">
      <alignment vertical="center"/>
    </xf>
    <xf numFmtId="0" fontId="33" fillId="57" borderId="0" applyNumberFormat="0" applyBorder="0" applyAlignment="0" applyProtection="0">
      <alignment vertical="center"/>
    </xf>
    <xf numFmtId="0" fontId="33" fillId="61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50" borderId="0" applyNumberFormat="0" applyBorder="0" applyAlignment="0" applyProtection="0">
      <alignment vertical="center"/>
    </xf>
    <xf numFmtId="0" fontId="33" fillId="54" borderId="0" applyNumberFormat="0" applyBorder="0" applyAlignment="0" applyProtection="0">
      <alignment vertical="center"/>
    </xf>
    <xf numFmtId="0" fontId="33" fillId="58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35" borderId="61" applyNumberFormat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2" fillId="37" borderId="65" applyNumberFormat="0" applyFont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36" borderId="64" applyNumberFormat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1" fillId="0" borderId="66" applyNumberFormat="0" applyFill="0" applyAlignment="0" applyProtection="0">
      <alignment vertical="center"/>
    </xf>
    <xf numFmtId="0" fontId="42" fillId="34" borderId="61" applyNumberFormat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58" applyNumberFormat="0" applyFill="0" applyAlignment="0" applyProtection="0">
      <alignment vertical="center"/>
    </xf>
    <xf numFmtId="0" fontId="45" fillId="0" borderId="59" applyNumberFormat="0" applyFill="0" applyAlignment="0" applyProtection="0">
      <alignment vertical="center"/>
    </xf>
    <xf numFmtId="0" fontId="46" fillId="0" borderId="60" applyNumberFormat="0" applyFill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8" fillId="35" borderId="62" applyNumberFormat="0" applyAlignment="0" applyProtection="0">
      <alignment vertical="center"/>
    </xf>
  </cellStyleXfs>
  <cellXfs count="236">
    <xf numFmtId="0" fontId="0" fillId="0" borderId="0" xfId="0">
      <alignment vertical="center"/>
    </xf>
    <xf numFmtId="0" fontId="21" fillId="0" borderId="0" xfId="0" applyFont="1">
      <alignment vertical="center"/>
    </xf>
    <xf numFmtId="0" fontId="23" fillId="0" borderId="13" xfId="0" applyFont="1" applyBorder="1" applyAlignment="1">
      <alignment horizontal="left" vertical="center"/>
    </xf>
    <xf numFmtId="0" fontId="24" fillId="0" borderId="0" xfId="0" applyFont="1">
      <alignment vertical="center"/>
    </xf>
    <xf numFmtId="0" fontId="2" fillId="0" borderId="10" xfId="0" applyFont="1" applyBorder="1" applyAlignment="1">
      <alignment vertical="center" wrapText="1"/>
    </xf>
    <xf numFmtId="0" fontId="2" fillId="0" borderId="11" xfId="0" applyFont="1" applyBorder="1" applyAlignment="1">
      <alignment vertical="center" wrapText="1"/>
    </xf>
    <xf numFmtId="0" fontId="2" fillId="0" borderId="12" xfId="0" applyFont="1" applyBorder="1" applyAlignment="1">
      <alignment vertical="center" wrapText="1"/>
    </xf>
    <xf numFmtId="0" fontId="2" fillId="0" borderId="15" xfId="0" applyFont="1" applyBorder="1" applyAlignment="1">
      <alignment vertical="center" wrapText="1"/>
    </xf>
    <xf numFmtId="0" fontId="2" fillId="0" borderId="16" xfId="0" applyFont="1" applyBorder="1" applyAlignment="1">
      <alignment vertical="center" wrapText="1"/>
    </xf>
    <xf numFmtId="0" fontId="2" fillId="0" borderId="17" xfId="0" applyFont="1" applyBorder="1" applyAlignment="1">
      <alignment vertical="center" wrapText="1"/>
    </xf>
    <xf numFmtId="0" fontId="2" fillId="0" borderId="18" xfId="0" applyFont="1" applyBorder="1" applyAlignment="1">
      <alignment vertical="center" wrapText="1"/>
    </xf>
    <xf numFmtId="0" fontId="2" fillId="0" borderId="13" xfId="0" applyFont="1" applyBorder="1" applyAlignment="1">
      <alignment vertical="center" wrapText="1"/>
    </xf>
    <xf numFmtId="0" fontId="2" fillId="0" borderId="22" xfId="0" applyFont="1" applyBorder="1" applyAlignment="1">
      <alignment vertical="center" wrapText="1"/>
    </xf>
    <xf numFmtId="0" fontId="2" fillId="24" borderId="24" xfId="0" applyFont="1" applyFill="1" applyBorder="1" applyAlignment="1">
      <alignment vertical="center" wrapText="1"/>
    </xf>
    <xf numFmtId="0" fontId="2" fillId="24" borderId="25" xfId="0" applyFont="1" applyFill="1" applyBorder="1" applyAlignment="1">
      <alignment vertical="center" wrapText="1"/>
    </xf>
    <xf numFmtId="0" fontId="2" fillId="24" borderId="26" xfId="0" applyFont="1" applyFill="1" applyBorder="1" applyAlignment="1">
      <alignment vertical="center" wrapText="1"/>
    </xf>
    <xf numFmtId="0" fontId="2" fillId="24" borderId="27" xfId="0" applyFont="1" applyFill="1" applyBorder="1" applyAlignment="1">
      <alignment vertical="center" wrapText="1"/>
    </xf>
    <xf numFmtId="0" fontId="2" fillId="24" borderId="29" xfId="0" applyFont="1" applyFill="1" applyBorder="1" applyAlignment="1">
      <alignment vertical="center" wrapText="1"/>
    </xf>
    <xf numFmtId="0" fontId="2" fillId="0" borderId="41" xfId="0" applyFont="1" applyBorder="1" applyAlignment="1">
      <alignment vertical="center" wrapText="1"/>
    </xf>
    <xf numFmtId="0" fontId="2" fillId="0" borderId="42" xfId="0" applyFont="1" applyBorder="1" applyAlignment="1">
      <alignment vertical="center" wrapText="1"/>
    </xf>
    <xf numFmtId="0" fontId="2" fillId="0" borderId="43" xfId="0" applyFont="1" applyBorder="1" applyAlignment="1">
      <alignment vertical="center" wrapText="1"/>
    </xf>
    <xf numFmtId="0" fontId="2" fillId="0" borderId="54" xfId="0" applyFont="1" applyBorder="1" applyAlignment="1">
      <alignment vertical="center" wrapText="1"/>
    </xf>
    <xf numFmtId="0" fontId="2" fillId="0" borderId="55" xfId="0" applyFont="1" applyBorder="1" applyAlignment="1">
      <alignment vertical="center" wrapText="1"/>
    </xf>
    <xf numFmtId="0" fontId="2" fillId="0" borderId="12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0" xfId="0" applyFont="1" applyBorder="1">
      <alignment vertical="center"/>
    </xf>
    <xf numFmtId="0" fontId="2" fillId="0" borderId="56" xfId="0" applyFont="1" applyBorder="1" applyAlignment="1">
      <alignment vertical="center" wrapText="1"/>
    </xf>
    <xf numFmtId="0" fontId="2" fillId="0" borderId="0" xfId="0" applyFont="1">
      <alignment vertical="center"/>
    </xf>
    <xf numFmtId="0" fontId="2" fillId="24" borderId="30" xfId="0" applyFont="1" applyFill="1" applyBorder="1" applyAlignment="1">
      <alignment vertical="center" wrapText="1"/>
    </xf>
    <xf numFmtId="0" fontId="2" fillId="24" borderId="31" xfId="0" applyFont="1" applyFill="1" applyBorder="1" applyAlignment="1">
      <alignment vertical="center" wrapText="1"/>
    </xf>
    <xf numFmtId="0" fontId="2" fillId="24" borderId="32" xfId="0" applyFont="1" applyFill="1" applyBorder="1" applyAlignment="1">
      <alignment vertical="center" wrapText="1"/>
    </xf>
    <xf numFmtId="0" fontId="2" fillId="27" borderId="25" xfId="0" applyFont="1" applyFill="1" applyBorder="1" applyAlignment="1">
      <alignment vertical="center" wrapText="1"/>
    </xf>
    <xf numFmtId="0" fontId="2" fillId="28" borderId="12" xfId="0" applyFont="1" applyFill="1" applyBorder="1" applyAlignment="1">
      <alignment vertical="center" wrapText="1"/>
    </xf>
    <xf numFmtId="0" fontId="2" fillId="28" borderId="15" xfId="0" applyFont="1" applyFill="1" applyBorder="1" applyAlignment="1">
      <alignment vertical="center" wrapText="1"/>
    </xf>
    <xf numFmtId="0" fontId="2" fillId="28" borderId="11" xfId="0" applyFont="1" applyFill="1" applyBorder="1" applyAlignment="1">
      <alignment vertical="center" wrapText="1"/>
    </xf>
    <xf numFmtId="0" fontId="2" fillId="28" borderId="10" xfId="0" applyFont="1" applyFill="1" applyBorder="1" applyAlignment="1">
      <alignment vertical="center" wrapText="1"/>
    </xf>
    <xf numFmtId="0" fontId="2" fillId="28" borderId="18" xfId="0" applyFont="1" applyFill="1" applyBorder="1" applyAlignment="1">
      <alignment vertical="center" wrapText="1"/>
    </xf>
    <xf numFmtId="0" fontId="2" fillId="28" borderId="16" xfId="0" applyFont="1" applyFill="1" applyBorder="1" applyAlignment="1">
      <alignment vertical="center" wrapText="1"/>
    </xf>
    <xf numFmtId="0" fontId="2" fillId="28" borderId="17" xfId="0" applyFont="1" applyFill="1" applyBorder="1" applyAlignment="1">
      <alignment vertical="center" wrapText="1"/>
    </xf>
    <xf numFmtId="0" fontId="2" fillId="28" borderId="43" xfId="0" applyFont="1" applyFill="1" applyBorder="1" applyAlignment="1">
      <alignment vertical="center" wrapText="1"/>
    </xf>
    <xf numFmtId="0" fontId="2" fillId="28" borderId="42" xfId="0" applyFont="1" applyFill="1" applyBorder="1" applyAlignment="1">
      <alignment vertical="center" wrapText="1"/>
    </xf>
    <xf numFmtId="0" fontId="2" fillId="27" borderId="31" xfId="0" applyFont="1" applyFill="1" applyBorder="1" applyAlignment="1">
      <alignment vertical="center" wrapText="1"/>
    </xf>
    <xf numFmtId="0" fontId="2" fillId="27" borderId="34" xfId="0" applyFont="1" applyFill="1" applyBorder="1" applyAlignment="1">
      <alignment vertical="center" wrapText="1"/>
    </xf>
    <xf numFmtId="0" fontId="2" fillId="27" borderId="32" xfId="0" applyFont="1" applyFill="1" applyBorder="1" applyAlignment="1">
      <alignment vertical="center" wrapText="1"/>
    </xf>
    <xf numFmtId="0" fontId="2" fillId="0" borderId="14" xfId="0" applyFont="1" applyBorder="1">
      <alignment vertical="center"/>
    </xf>
    <xf numFmtId="0" fontId="22" fillId="26" borderId="29" xfId="0" applyFont="1" applyFill="1" applyBorder="1" applyAlignment="1">
      <alignment horizontal="center" vertical="center" wrapText="1"/>
    </xf>
    <xf numFmtId="0" fontId="28" fillId="26" borderId="49" xfId="0" applyFont="1" applyFill="1" applyBorder="1" applyAlignment="1">
      <alignment vertical="center" wrapText="1"/>
    </xf>
    <xf numFmtId="0" fontId="29" fillId="25" borderId="48" xfId="0" applyFont="1" applyFill="1" applyBorder="1">
      <alignment vertical="center"/>
    </xf>
    <xf numFmtId="0" fontId="28" fillId="25" borderId="37" xfId="0" applyFont="1" applyFill="1" applyBorder="1" applyAlignment="1">
      <alignment horizontal="centerContinuous" vertical="center" wrapText="1"/>
    </xf>
    <xf numFmtId="0" fontId="28" fillId="25" borderId="36" xfId="0" applyFont="1" applyFill="1" applyBorder="1" applyAlignment="1">
      <alignment horizontal="centerContinuous" vertical="center" wrapText="1"/>
    </xf>
    <xf numFmtId="177" fontId="28" fillId="25" borderId="31" xfId="0" applyNumberFormat="1" applyFont="1" applyFill="1" applyBorder="1" applyAlignment="1">
      <alignment horizontal="center" vertical="center" wrapText="1"/>
    </xf>
    <xf numFmtId="0" fontId="29" fillId="0" borderId="38" xfId="0" applyFont="1" applyBorder="1" applyAlignment="1">
      <alignment vertical="top"/>
    </xf>
    <xf numFmtId="0" fontId="28" fillId="24" borderId="23" xfId="0" applyFont="1" applyFill="1" applyBorder="1" applyAlignment="1">
      <alignment horizontal="left" vertical="center"/>
    </xf>
    <xf numFmtId="0" fontId="28" fillId="24" borderId="36" xfId="0" applyFont="1" applyFill="1" applyBorder="1">
      <alignment vertical="center"/>
    </xf>
    <xf numFmtId="0" fontId="28" fillId="24" borderId="36" xfId="0" applyFont="1" applyFill="1" applyBorder="1" applyAlignment="1">
      <alignment horizontal="left" vertical="center" indent="1"/>
    </xf>
    <xf numFmtId="177" fontId="28" fillId="24" borderId="36" xfId="0" applyNumberFormat="1" applyFont="1" applyFill="1" applyBorder="1" applyAlignment="1">
      <alignment horizontal="center" vertical="center"/>
    </xf>
    <xf numFmtId="0" fontId="29" fillId="0" borderId="57" xfId="0" applyFont="1" applyBorder="1" applyAlignment="1">
      <alignment vertical="top"/>
    </xf>
    <xf numFmtId="0" fontId="30" fillId="24" borderId="19" xfId="0" applyFont="1" applyFill="1" applyBorder="1">
      <alignment vertical="center"/>
    </xf>
    <xf numFmtId="0" fontId="28" fillId="25" borderId="23" xfId="0" applyFont="1" applyFill="1" applyBorder="1">
      <alignment vertical="center"/>
    </xf>
    <xf numFmtId="0" fontId="28" fillId="25" borderId="15" xfId="0" applyFont="1" applyFill="1" applyBorder="1" applyAlignment="1">
      <alignment vertical="center" wrapText="1"/>
    </xf>
    <xf numFmtId="177" fontId="28" fillId="25" borderId="11" xfId="0" applyNumberFormat="1" applyFont="1" applyFill="1" applyBorder="1" applyAlignment="1">
      <alignment horizontal="center" vertical="center" wrapText="1"/>
    </xf>
    <xf numFmtId="0" fontId="30" fillId="25" borderId="40" xfId="0" applyFont="1" applyFill="1" applyBorder="1">
      <alignment vertical="center"/>
    </xf>
    <xf numFmtId="0" fontId="30" fillId="25" borderId="39" xfId="0" applyFont="1" applyFill="1" applyBorder="1" applyAlignment="1">
      <alignment vertical="center" wrapText="1"/>
    </xf>
    <xf numFmtId="177" fontId="30" fillId="25" borderId="20" xfId="0" applyNumberFormat="1" applyFont="1" applyFill="1" applyBorder="1" applyAlignment="1">
      <alignment horizontal="center" vertical="center" wrapText="1"/>
    </xf>
    <xf numFmtId="0" fontId="30" fillId="25" borderId="17" xfId="0" applyFont="1" applyFill="1" applyBorder="1" applyAlignment="1">
      <alignment vertical="center" wrapText="1"/>
    </xf>
    <xf numFmtId="0" fontId="30" fillId="24" borderId="35" xfId="0" applyFont="1" applyFill="1" applyBorder="1">
      <alignment vertical="center"/>
    </xf>
    <xf numFmtId="0" fontId="30" fillId="25" borderId="44" xfId="0" applyFont="1" applyFill="1" applyBorder="1">
      <alignment vertical="center"/>
    </xf>
    <xf numFmtId="0" fontId="29" fillId="0" borderId="0" xfId="0" applyFont="1">
      <alignment vertical="center"/>
    </xf>
    <xf numFmtId="0" fontId="30" fillId="0" borderId="0" xfId="0" applyFont="1">
      <alignment vertical="center"/>
    </xf>
    <xf numFmtId="177" fontId="30" fillId="0" borderId="0" xfId="0" applyNumberFormat="1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28" fillId="26" borderId="50" xfId="0" applyFont="1" applyFill="1" applyBorder="1" applyAlignment="1">
      <alignment horizontal="center" vertical="center" wrapText="1"/>
    </xf>
    <xf numFmtId="0" fontId="28" fillId="26" borderId="0" xfId="0" applyFont="1" applyFill="1" applyAlignment="1">
      <alignment horizontal="center" vertical="center" wrapText="1"/>
    </xf>
    <xf numFmtId="177" fontId="28" fillId="26" borderId="50" xfId="0" applyNumberFormat="1" applyFont="1" applyFill="1" applyBorder="1" applyAlignment="1">
      <alignment horizontal="center" vertical="center" wrapText="1"/>
    </xf>
    <xf numFmtId="178" fontId="29" fillId="0" borderId="0" xfId="0" applyNumberFormat="1" applyFont="1">
      <alignment vertical="center"/>
    </xf>
    <xf numFmtId="179" fontId="2" fillId="0" borderId="10" xfId="0" applyNumberFormat="1" applyFont="1" applyBorder="1">
      <alignment vertical="center"/>
    </xf>
    <xf numFmtId="179" fontId="2" fillId="0" borderId="11" xfId="0" applyNumberFormat="1" applyFont="1" applyBorder="1">
      <alignment vertical="center"/>
    </xf>
    <xf numFmtId="179" fontId="2" fillId="0" borderId="12" xfId="0" applyNumberFormat="1" applyFont="1" applyBorder="1">
      <alignment vertical="center"/>
    </xf>
    <xf numFmtId="179" fontId="2" fillId="0" borderId="14" xfId="0" applyNumberFormat="1" applyFont="1" applyBorder="1">
      <alignment vertical="center"/>
    </xf>
    <xf numFmtId="0" fontId="30" fillId="25" borderId="50" xfId="0" applyFont="1" applyFill="1" applyBorder="1" applyAlignment="1">
      <alignment vertical="center" wrapText="1"/>
    </xf>
    <xf numFmtId="0" fontId="29" fillId="0" borderId="51" xfId="0" applyFont="1" applyBorder="1" applyAlignment="1">
      <alignment vertical="top"/>
    </xf>
    <xf numFmtId="0" fontId="30" fillId="24" borderId="53" xfId="0" applyFont="1" applyFill="1" applyBorder="1">
      <alignment vertical="center"/>
    </xf>
    <xf numFmtId="177" fontId="30" fillId="25" borderId="45" xfId="0" applyNumberFormat="1" applyFont="1" applyFill="1" applyBorder="1" applyAlignment="1">
      <alignment horizontal="center" vertical="center" wrapText="1"/>
    </xf>
    <xf numFmtId="177" fontId="28" fillId="25" borderId="32" xfId="0" applyNumberFormat="1" applyFont="1" applyFill="1" applyBorder="1" applyAlignment="1">
      <alignment horizontal="center" vertical="center" wrapText="1"/>
    </xf>
    <xf numFmtId="0" fontId="28" fillId="25" borderId="33" xfId="0" applyFont="1" applyFill="1" applyBorder="1" applyAlignment="1">
      <alignment horizontal="center" vertical="center" wrapText="1"/>
    </xf>
    <xf numFmtId="9" fontId="28" fillId="25" borderId="33" xfId="0" applyNumberFormat="1" applyFont="1" applyFill="1" applyBorder="1" applyAlignment="1">
      <alignment horizontal="center" vertical="center" wrapText="1"/>
    </xf>
    <xf numFmtId="177" fontId="28" fillId="24" borderId="38" xfId="0" applyNumberFormat="1" applyFont="1" applyFill="1" applyBorder="1" applyAlignment="1">
      <alignment horizontal="center" vertical="center"/>
    </xf>
    <xf numFmtId="176" fontId="28" fillId="24" borderId="29" xfId="0" applyNumberFormat="1" applyFont="1" applyFill="1" applyBorder="1" applyAlignment="1">
      <alignment horizontal="center" vertical="center"/>
    </xf>
    <xf numFmtId="9" fontId="28" fillId="24" borderId="29" xfId="0" applyNumberFormat="1" applyFont="1" applyFill="1" applyBorder="1" applyAlignment="1">
      <alignment horizontal="center" vertical="center"/>
    </xf>
    <xf numFmtId="0" fontId="28" fillId="24" borderId="29" xfId="0" applyFont="1" applyFill="1" applyBorder="1" applyAlignment="1">
      <alignment horizontal="center" vertical="center"/>
    </xf>
    <xf numFmtId="177" fontId="28" fillId="25" borderId="12" xfId="0" applyNumberFormat="1" applyFont="1" applyFill="1" applyBorder="1" applyAlignment="1">
      <alignment horizontal="center" vertical="center" wrapText="1"/>
    </xf>
    <xf numFmtId="176" fontId="28" fillId="25" borderId="13" xfId="0" applyNumberFormat="1" applyFont="1" applyFill="1" applyBorder="1" applyAlignment="1">
      <alignment horizontal="center" vertical="center" wrapText="1"/>
    </xf>
    <xf numFmtId="9" fontId="28" fillId="29" borderId="13" xfId="0" applyNumberFormat="1" applyFont="1" applyFill="1" applyBorder="1" applyAlignment="1">
      <alignment horizontal="center" vertical="center" wrapText="1"/>
    </xf>
    <xf numFmtId="0" fontId="28" fillId="25" borderId="13" xfId="0" applyFont="1" applyFill="1" applyBorder="1" applyAlignment="1">
      <alignment horizontal="center" vertical="center" wrapText="1"/>
    </xf>
    <xf numFmtId="177" fontId="30" fillId="25" borderId="21" xfId="0" applyNumberFormat="1" applyFont="1" applyFill="1" applyBorder="1" applyAlignment="1">
      <alignment horizontal="center" vertical="center" wrapText="1"/>
    </xf>
    <xf numFmtId="176" fontId="30" fillId="25" borderId="22" xfId="0" applyNumberFormat="1" applyFont="1" applyFill="1" applyBorder="1" applyAlignment="1">
      <alignment horizontal="center" vertical="center" wrapText="1"/>
    </xf>
    <xf numFmtId="9" fontId="30" fillId="30" borderId="55" xfId="0" applyNumberFormat="1" applyFont="1" applyFill="1" applyBorder="1" applyAlignment="1">
      <alignment horizontal="center" vertical="center" wrapText="1"/>
    </xf>
    <xf numFmtId="0" fontId="30" fillId="25" borderId="55" xfId="0" applyFont="1" applyFill="1" applyBorder="1" applyAlignment="1">
      <alignment horizontal="center" vertical="center" wrapText="1"/>
    </xf>
    <xf numFmtId="9" fontId="30" fillId="30" borderId="47" xfId="0" applyNumberFormat="1" applyFont="1" applyFill="1" applyBorder="1" applyAlignment="1">
      <alignment horizontal="center" vertical="center" wrapText="1"/>
    </xf>
    <xf numFmtId="0" fontId="30" fillId="25" borderId="47" xfId="0" applyFont="1" applyFill="1" applyBorder="1" applyAlignment="1">
      <alignment horizontal="center" vertical="center" wrapText="1"/>
    </xf>
    <xf numFmtId="176" fontId="30" fillId="25" borderId="13" xfId="0" applyNumberFormat="1" applyFont="1" applyFill="1" applyBorder="1" applyAlignment="1">
      <alignment horizontal="center" vertical="center" wrapText="1"/>
    </xf>
    <xf numFmtId="0" fontId="30" fillId="25" borderId="13" xfId="0" applyFont="1" applyFill="1" applyBorder="1" applyAlignment="1">
      <alignment horizontal="center" vertical="center" wrapText="1"/>
    </xf>
    <xf numFmtId="177" fontId="30" fillId="25" borderId="46" xfId="0" applyNumberFormat="1" applyFont="1" applyFill="1" applyBorder="1" applyAlignment="1">
      <alignment horizontal="center" vertical="center" wrapText="1"/>
    </xf>
    <xf numFmtId="176" fontId="30" fillId="25" borderId="53" xfId="0" applyNumberFormat="1" applyFont="1" applyFill="1" applyBorder="1" applyAlignment="1">
      <alignment horizontal="center" vertical="center" wrapText="1"/>
    </xf>
    <xf numFmtId="176" fontId="30" fillId="25" borderId="19" xfId="0" applyNumberFormat="1" applyFont="1" applyFill="1" applyBorder="1" applyAlignment="1">
      <alignment horizontal="center" vertical="center" wrapText="1"/>
    </xf>
    <xf numFmtId="9" fontId="30" fillId="30" borderId="19" xfId="0" applyNumberFormat="1" applyFont="1" applyFill="1" applyBorder="1" applyAlignment="1">
      <alignment horizontal="center" vertical="center" wrapText="1"/>
    </xf>
    <xf numFmtId="0" fontId="30" fillId="25" borderId="19" xfId="0" applyFont="1" applyFill="1" applyBorder="1" applyAlignment="1">
      <alignment horizontal="center" vertical="center" wrapText="1"/>
    </xf>
    <xf numFmtId="0" fontId="2" fillId="0" borderId="19" xfId="0" applyFont="1" applyBorder="1" applyAlignment="1">
      <alignment vertical="center" wrapText="1"/>
    </xf>
    <xf numFmtId="0" fontId="30" fillId="25" borderId="35" xfId="0" applyFont="1" applyFill="1" applyBorder="1">
      <alignment vertical="center"/>
    </xf>
    <xf numFmtId="0" fontId="30" fillId="25" borderId="20" xfId="0" applyFont="1" applyFill="1" applyBorder="1" applyAlignment="1">
      <alignment vertical="center" wrapText="1"/>
    </xf>
    <xf numFmtId="0" fontId="2" fillId="0" borderId="53" xfId="0" applyFont="1" applyBorder="1" applyAlignment="1">
      <alignment vertical="center" wrapText="1"/>
    </xf>
    <xf numFmtId="177" fontId="30" fillId="25" borderId="52" xfId="0" applyNumberFormat="1" applyFont="1" applyFill="1" applyBorder="1" applyAlignment="1">
      <alignment horizontal="center" vertical="center" wrapText="1"/>
    </xf>
    <xf numFmtId="177" fontId="30" fillId="25" borderId="67" xfId="0" applyNumberFormat="1" applyFont="1" applyFill="1" applyBorder="1" applyAlignment="1">
      <alignment horizontal="center" vertical="center" wrapText="1"/>
    </xf>
    <xf numFmtId="9" fontId="30" fillId="30" borderId="69" xfId="0" applyNumberFormat="1" applyFont="1" applyFill="1" applyBorder="1" applyAlignment="1">
      <alignment horizontal="center" vertical="center" wrapText="1"/>
    </xf>
    <xf numFmtId="0" fontId="30" fillId="25" borderId="69" xfId="0" applyFont="1" applyFill="1" applyBorder="1" applyAlignment="1">
      <alignment horizontal="center" vertical="center" wrapText="1"/>
    </xf>
    <xf numFmtId="0" fontId="2" fillId="0" borderId="70" xfId="0" applyFont="1" applyBorder="1" applyAlignment="1">
      <alignment vertical="center" wrapText="1"/>
    </xf>
    <xf numFmtId="0" fontId="2" fillId="0" borderId="68" xfId="0" applyFont="1" applyBorder="1" applyAlignment="1">
      <alignment vertical="center" wrapText="1"/>
    </xf>
    <xf numFmtId="0" fontId="2" fillId="28" borderId="68" xfId="0" applyFont="1" applyFill="1" applyBorder="1" applyAlignment="1">
      <alignment vertical="center" wrapText="1"/>
    </xf>
    <xf numFmtId="0" fontId="2" fillId="28" borderId="72" xfId="0" applyFont="1" applyFill="1" applyBorder="1" applyAlignment="1">
      <alignment vertical="center" wrapText="1"/>
    </xf>
    <xf numFmtId="9" fontId="30" fillId="30" borderId="13" xfId="0" applyNumberFormat="1" applyFont="1" applyFill="1" applyBorder="1" applyAlignment="1">
      <alignment horizontal="center" vertical="center" wrapText="1"/>
    </xf>
    <xf numFmtId="0" fontId="2" fillId="0" borderId="69" xfId="0" applyFont="1" applyBorder="1" applyAlignment="1">
      <alignment vertical="center" wrapText="1"/>
    </xf>
    <xf numFmtId="0" fontId="28" fillId="25" borderId="35" xfId="0" applyFont="1" applyFill="1" applyBorder="1">
      <alignment vertical="center"/>
    </xf>
    <xf numFmtId="176" fontId="28" fillId="25" borderId="22" xfId="0" applyNumberFormat="1" applyFont="1" applyFill="1" applyBorder="1" applyAlignment="1">
      <alignment horizontal="center" vertical="center" wrapText="1"/>
    </xf>
    <xf numFmtId="9" fontId="28" fillId="29" borderId="22" xfId="0" applyNumberFormat="1" applyFont="1" applyFill="1" applyBorder="1" applyAlignment="1">
      <alignment horizontal="center" vertical="center" wrapText="1"/>
    </xf>
    <xf numFmtId="0" fontId="2" fillId="0" borderId="73" xfId="0" applyFont="1" applyBorder="1" applyAlignment="1">
      <alignment vertical="center" wrapText="1"/>
    </xf>
    <xf numFmtId="0" fontId="2" fillId="0" borderId="74" xfId="0" applyFont="1" applyBorder="1" applyAlignment="1">
      <alignment vertical="center" wrapText="1"/>
    </xf>
    <xf numFmtId="0" fontId="2" fillId="0" borderId="20" xfId="0" applyFont="1" applyBorder="1" applyAlignment="1">
      <alignment vertical="center" wrapText="1"/>
    </xf>
    <xf numFmtId="0" fontId="2" fillId="28" borderId="20" xfId="0" applyFont="1" applyFill="1" applyBorder="1" applyAlignment="1">
      <alignment vertical="center" wrapText="1"/>
    </xf>
    <xf numFmtId="0" fontId="2" fillId="0" borderId="21" xfId="0" applyFont="1" applyBorder="1" applyAlignment="1">
      <alignment vertical="center" wrapText="1"/>
    </xf>
    <xf numFmtId="0" fontId="2" fillId="28" borderId="21" xfId="0" applyFont="1" applyFill="1" applyBorder="1" applyAlignment="1">
      <alignment vertical="center" wrapText="1"/>
    </xf>
    <xf numFmtId="0" fontId="28" fillId="25" borderId="28" xfId="0" applyFont="1" applyFill="1" applyBorder="1" applyAlignment="1">
      <alignment vertical="center" wrapText="1"/>
    </xf>
    <xf numFmtId="0" fontId="30" fillId="25" borderId="75" xfId="0" applyFont="1" applyFill="1" applyBorder="1" applyAlignment="1">
      <alignment vertical="center" wrapText="1"/>
    </xf>
    <xf numFmtId="0" fontId="30" fillId="25" borderId="0" xfId="0" applyFont="1" applyFill="1" applyAlignment="1">
      <alignment vertical="center" wrapText="1"/>
    </xf>
    <xf numFmtId="177" fontId="30" fillId="25" borderId="0" xfId="0" applyNumberFormat="1" applyFont="1" applyFill="1" applyAlignment="1">
      <alignment horizontal="center" vertical="center" wrapText="1"/>
    </xf>
    <xf numFmtId="177" fontId="30" fillId="25" borderId="57" xfId="0" applyNumberFormat="1" applyFont="1" applyFill="1" applyBorder="1" applyAlignment="1">
      <alignment horizontal="center" vertical="center" wrapText="1"/>
    </xf>
    <xf numFmtId="0" fontId="2" fillId="28" borderId="52" xfId="0" applyFont="1" applyFill="1" applyBorder="1" applyAlignment="1">
      <alignment vertical="center" wrapText="1"/>
    </xf>
    <xf numFmtId="0" fontId="2" fillId="28" borderId="67" xfId="0" applyFont="1" applyFill="1" applyBorder="1" applyAlignment="1">
      <alignment vertical="center" wrapText="1"/>
    </xf>
    <xf numFmtId="0" fontId="2" fillId="0" borderId="40" xfId="0" applyFont="1" applyBorder="1" applyAlignment="1">
      <alignment vertical="center" wrapText="1"/>
    </xf>
    <xf numFmtId="0" fontId="2" fillId="0" borderId="52" xfId="0" applyFont="1" applyBorder="1" applyAlignment="1">
      <alignment vertical="center" wrapText="1"/>
    </xf>
    <xf numFmtId="0" fontId="2" fillId="0" borderId="78" xfId="0" applyFont="1" applyBorder="1" applyAlignment="1">
      <alignment vertical="center" wrapText="1"/>
    </xf>
    <xf numFmtId="0" fontId="27" fillId="0" borderId="55" xfId="0" applyFont="1" applyBorder="1" applyAlignment="1">
      <alignment horizontal="center" vertical="center" wrapText="1"/>
    </xf>
    <xf numFmtId="0" fontId="28" fillId="25" borderId="23" xfId="0" applyFont="1" applyFill="1" applyBorder="1" applyAlignment="1">
      <alignment horizontal="left" vertical="center"/>
    </xf>
    <xf numFmtId="0" fontId="27" fillId="0" borderId="19" xfId="0" applyFont="1" applyBorder="1" applyAlignment="1">
      <alignment horizontal="center" vertical="center" wrapText="1"/>
    </xf>
    <xf numFmtId="0" fontId="30" fillId="25" borderId="22" xfId="0" applyFont="1" applyFill="1" applyBorder="1" applyAlignment="1">
      <alignment horizontal="center" vertical="center" wrapText="1"/>
    </xf>
    <xf numFmtId="0" fontId="2" fillId="0" borderId="79" xfId="0" applyFont="1" applyBorder="1" applyAlignment="1">
      <alignment vertical="center" wrapText="1"/>
    </xf>
    <xf numFmtId="0" fontId="2" fillId="0" borderId="67" xfId="0" applyFont="1" applyBorder="1" applyAlignment="1">
      <alignment vertical="center" wrapText="1"/>
    </xf>
    <xf numFmtId="0" fontId="28" fillId="24" borderId="35" xfId="0" applyFont="1" applyFill="1" applyBorder="1" applyAlignment="1">
      <alignment horizontal="left" vertical="center"/>
    </xf>
    <xf numFmtId="177" fontId="28" fillId="25" borderId="20" xfId="0" applyNumberFormat="1" applyFont="1" applyFill="1" applyBorder="1" applyAlignment="1">
      <alignment horizontal="center" vertical="center" wrapText="1"/>
    </xf>
    <xf numFmtId="177" fontId="28" fillId="25" borderId="77" xfId="0" applyNumberFormat="1" applyFont="1" applyFill="1" applyBorder="1" applyAlignment="1">
      <alignment horizontal="center" vertical="center" wrapText="1"/>
    </xf>
    <xf numFmtId="9" fontId="30" fillId="30" borderId="22" xfId="0" applyNumberFormat="1" applyFont="1" applyFill="1" applyBorder="1" applyAlignment="1">
      <alignment horizontal="center" vertical="center" wrapText="1"/>
    </xf>
    <xf numFmtId="9" fontId="28" fillId="29" borderId="19" xfId="0" applyNumberFormat="1" applyFont="1" applyFill="1" applyBorder="1" applyAlignment="1">
      <alignment horizontal="center" vertical="center" wrapText="1"/>
    </xf>
    <xf numFmtId="0" fontId="29" fillId="0" borderId="0" xfId="0" applyFont="1" applyAlignment="1">
      <alignment vertical="top"/>
    </xf>
    <xf numFmtId="0" fontId="30" fillId="26" borderId="51" xfId="0" applyFont="1" applyFill="1" applyBorder="1" applyAlignment="1">
      <alignment horizontal="center" vertical="center" wrapText="1"/>
    </xf>
    <xf numFmtId="0" fontId="30" fillId="25" borderId="33" xfId="0" applyFont="1" applyFill="1" applyBorder="1" applyAlignment="1">
      <alignment horizontal="center" vertical="center" wrapText="1"/>
    </xf>
    <xf numFmtId="0" fontId="30" fillId="24" borderId="29" xfId="0" applyFont="1" applyFill="1" applyBorder="1" applyAlignment="1">
      <alignment horizontal="center" vertical="center"/>
    </xf>
    <xf numFmtId="0" fontId="27" fillId="0" borderId="13" xfId="0" applyFont="1" applyBorder="1" applyAlignment="1">
      <alignment horizontal="center" vertical="center" wrapText="1"/>
    </xf>
    <xf numFmtId="177" fontId="30" fillId="25" borderId="77" xfId="0" applyNumberFormat="1" applyFont="1" applyFill="1" applyBorder="1" applyAlignment="1">
      <alignment horizontal="center" vertical="center" wrapText="1"/>
    </xf>
    <xf numFmtId="0" fontId="2" fillId="28" borderId="70" xfId="0" applyFont="1" applyFill="1" applyBorder="1" applyAlignment="1">
      <alignment vertical="center" wrapText="1"/>
    </xf>
    <xf numFmtId="0" fontId="30" fillId="25" borderId="80" xfId="0" applyFont="1" applyFill="1" applyBorder="1" applyAlignment="1">
      <alignment vertical="center" wrapText="1"/>
    </xf>
    <xf numFmtId="177" fontId="30" fillId="25" borderId="11" xfId="0" applyNumberFormat="1" applyFont="1" applyFill="1" applyBorder="1" applyAlignment="1">
      <alignment horizontal="center" vertical="center" wrapText="1"/>
    </xf>
    <xf numFmtId="177" fontId="30" fillId="25" borderId="12" xfId="0" applyNumberFormat="1" applyFont="1" applyFill="1" applyBorder="1" applyAlignment="1">
      <alignment horizontal="center" vertical="center" wrapText="1"/>
    </xf>
    <xf numFmtId="0" fontId="30" fillId="25" borderId="68" xfId="0" applyFont="1" applyFill="1" applyBorder="1" applyAlignment="1">
      <alignment vertical="center" wrapText="1"/>
    </xf>
    <xf numFmtId="0" fontId="27" fillId="0" borderId="69" xfId="0" applyFont="1" applyBorder="1" applyAlignment="1">
      <alignment horizontal="center" vertical="center" wrapText="1"/>
    </xf>
    <xf numFmtId="0" fontId="2" fillId="0" borderId="29" xfId="0" applyFont="1" applyBorder="1" applyAlignment="1">
      <alignment vertical="center" wrapText="1"/>
    </xf>
    <xf numFmtId="0" fontId="30" fillId="25" borderId="76" xfId="0" applyFont="1" applyFill="1" applyBorder="1" applyAlignment="1">
      <alignment vertical="center" wrapText="1"/>
    </xf>
    <xf numFmtId="177" fontId="28" fillId="25" borderId="52" xfId="0" applyNumberFormat="1" applyFont="1" applyFill="1" applyBorder="1" applyAlignment="1">
      <alignment horizontal="center" vertical="center" wrapText="1"/>
    </xf>
    <xf numFmtId="177" fontId="28" fillId="25" borderId="78" xfId="0" applyNumberFormat="1" applyFont="1" applyFill="1" applyBorder="1" applyAlignment="1">
      <alignment horizontal="center" vertical="center" wrapText="1"/>
    </xf>
    <xf numFmtId="176" fontId="28" fillId="25" borderId="19" xfId="0" applyNumberFormat="1" applyFont="1" applyFill="1" applyBorder="1" applyAlignment="1">
      <alignment horizontal="center" vertical="center" wrapText="1"/>
    </xf>
    <xf numFmtId="0" fontId="28" fillId="25" borderId="36" xfId="0" applyFont="1" applyFill="1" applyBorder="1" applyAlignment="1">
      <alignment vertical="center" wrapText="1"/>
    </xf>
    <xf numFmtId="177" fontId="28" fillId="25" borderId="14" xfId="0" applyNumberFormat="1" applyFont="1" applyFill="1" applyBorder="1" applyAlignment="1">
      <alignment horizontal="center" vertical="center" wrapText="1"/>
    </xf>
    <xf numFmtId="0" fontId="2" fillId="0" borderId="24" xfId="0" applyFont="1" applyBorder="1" applyAlignment="1">
      <alignment vertical="center" wrapText="1"/>
    </xf>
    <xf numFmtId="0" fontId="2" fillId="0" borderId="28" xfId="0" applyFont="1" applyBorder="1" applyAlignment="1">
      <alignment vertical="center" wrapText="1"/>
    </xf>
    <xf numFmtId="0" fontId="2" fillId="0" borderId="25" xfId="0" applyFont="1" applyBorder="1" applyAlignment="1">
      <alignment vertical="center" wrapText="1"/>
    </xf>
    <xf numFmtId="0" fontId="2" fillId="28" borderId="25" xfId="0" applyFont="1" applyFill="1" applyBorder="1" applyAlignment="1">
      <alignment vertical="center" wrapText="1"/>
    </xf>
    <xf numFmtId="0" fontId="2" fillId="0" borderId="26" xfId="0" applyFont="1" applyBorder="1" applyAlignment="1">
      <alignment vertical="center" wrapText="1"/>
    </xf>
    <xf numFmtId="0" fontId="2" fillId="0" borderId="27" xfId="0" applyFont="1" applyBorder="1" applyAlignment="1">
      <alignment vertical="center" wrapText="1"/>
    </xf>
    <xf numFmtId="0" fontId="2" fillId="28" borderId="26" xfId="0" applyFont="1" applyFill="1" applyBorder="1" applyAlignment="1">
      <alignment vertical="center" wrapText="1"/>
    </xf>
    <xf numFmtId="0" fontId="28" fillId="28" borderId="36" xfId="0" applyFont="1" applyFill="1" applyBorder="1" applyAlignment="1">
      <alignment horizontal="left" vertical="center" indent="1"/>
    </xf>
    <xf numFmtId="0" fontId="28" fillId="28" borderId="23" xfId="0" applyFont="1" applyFill="1" applyBorder="1">
      <alignment vertical="center"/>
    </xf>
    <xf numFmtId="179" fontId="2" fillId="0" borderId="15" xfId="0" applyNumberFormat="1" applyFont="1" applyBorder="1">
      <alignment vertical="center"/>
    </xf>
    <xf numFmtId="0" fontId="2" fillId="0" borderId="80" xfId="0" applyFont="1" applyBorder="1">
      <alignment vertical="center"/>
    </xf>
    <xf numFmtId="0" fontId="2" fillId="27" borderId="37" xfId="0" applyFont="1" applyFill="1" applyBorder="1" applyAlignment="1">
      <alignment vertical="center" wrapText="1"/>
    </xf>
    <xf numFmtId="0" fontId="2" fillId="0" borderId="81" xfId="0" applyFont="1" applyBorder="1" applyAlignment="1">
      <alignment vertical="center" wrapText="1"/>
    </xf>
    <xf numFmtId="0" fontId="2" fillId="0" borderId="82" xfId="0" applyFont="1" applyBorder="1" applyAlignment="1">
      <alignment vertical="center" wrapText="1"/>
    </xf>
    <xf numFmtId="0" fontId="2" fillId="0" borderId="80" xfId="0" applyFont="1" applyBorder="1" applyAlignment="1">
      <alignment vertical="center" wrapText="1"/>
    </xf>
    <xf numFmtId="0" fontId="2" fillId="24" borderId="36" xfId="0" applyFont="1" applyFill="1" applyBorder="1" applyAlignment="1">
      <alignment vertical="center" wrapText="1"/>
    </xf>
    <xf numFmtId="0" fontId="2" fillId="0" borderId="39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36" xfId="0" applyFont="1" applyBorder="1" applyAlignment="1">
      <alignment vertical="center" wrapText="1"/>
    </xf>
    <xf numFmtId="0" fontId="2" fillId="0" borderId="83" xfId="0" applyFont="1" applyBorder="1" applyAlignment="1">
      <alignment vertical="center" wrapText="1"/>
    </xf>
    <xf numFmtId="179" fontId="2" fillId="0" borderId="84" xfId="0" applyNumberFormat="1" applyFont="1" applyBorder="1">
      <alignment vertical="center"/>
    </xf>
    <xf numFmtId="0" fontId="2" fillId="0" borderId="85" xfId="0" applyFont="1" applyBorder="1">
      <alignment vertical="center"/>
    </xf>
    <xf numFmtId="0" fontId="2" fillId="27" borderId="86" xfId="0" applyFont="1" applyFill="1" applyBorder="1" applyAlignment="1">
      <alignment vertical="center" wrapText="1"/>
    </xf>
    <xf numFmtId="0" fontId="2" fillId="0" borderId="85" xfId="0" applyFont="1" applyBorder="1" applyAlignment="1">
      <alignment vertical="center" wrapText="1"/>
    </xf>
    <xf numFmtId="0" fontId="2" fillId="0" borderId="87" xfId="0" applyFont="1" applyBorder="1" applyAlignment="1">
      <alignment vertical="center" wrapText="1"/>
    </xf>
    <xf numFmtId="0" fontId="2" fillId="0" borderId="88" xfId="0" applyFont="1" applyBorder="1" applyAlignment="1">
      <alignment vertical="center" wrapText="1"/>
    </xf>
    <xf numFmtId="0" fontId="2" fillId="24" borderId="89" xfId="0" applyFont="1" applyFill="1" applyBorder="1" applyAlignment="1">
      <alignment vertical="center" wrapText="1"/>
    </xf>
    <xf numFmtId="0" fontId="2" fillId="0" borderId="90" xfId="0" applyFont="1" applyBorder="1" applyAlignment="1">
      <alignment vertical="center" wrapText="1"/>
    </xf>
    <xf numFmtId="0" fontId="2" fillId="0" borderId="91" xfId="0" applyFont="1" applyBorder="1" applyAlignment="1">
      <alignment vertical="center" wrapText="1"/>
    </xf>
    <xf numFmtId="0" fontId="2" fillId="0" borderId="89" xfId="0" applyFont="1" applyBorder="1" applyAlignment="1">
      <alignment vertical="center" wrapText="1"/>
    </xf>
    <xf numFmtId="0" fontId="2" fillId="0" borderId="92" xfId="0" applyFont="1" applyBorder="1" applyAlignment="1">
      <alignment vertical="center" wrapText="1"/>
    </xf>
    <xf numFmtId="0" fontId="31" fillId="26" borderId="33" xfId="0" applyFont="1" applyFill="1" applyBorder="1" applyAlignment="1">
      <alignment horizontal="center" vertical="center" wrapText="1"/>
    </xf>
    <xf numFmtId="0" fontId="2" fillId="62" borderId="70" xfId="0" applyFont="1" applyFill="1" applyBorder="1" applyAlignment="1">
      <alignment vertical="center" wrapText="1"/>
    </xf>
    <xf numFmtId="0" fontId="2" fillId="62" borderId="16" xfId="0" applyFont="1" applyFill="1" applyBorder="1" applyAlignment="1">
      <alignment vertical="center" wrapText="1"/>
    </xf>
    <xf numFmtId="0" fontId="2" fillId="62" borderId="71" xfId="0" applyFont="1" applyFill="1" applyBorder="1" applyAlignment="1">
      <alignment vertical="center" wrapText="1"/>
    </xf>
    <xf numFmtId="0" fontId="2" fillId="62" borderId="17" xfId="0" applyFont="1" applyFill="1" applyBorder="1" applyAlignment="1">
      <alignment vertical="center" wrapText="1"/>
    </xf>
    <xf numFmtId="0" fontId="2" fillId="62" borderId="73" xfId="0" applyFont="1" applyFill="1" applyBorder="1" applyAlignment="1">
      <alignment vertical="center" wrapText="1"/>
    </xf>
    <xf numFmtId="0" fontId="2" fillId="62" borderId="40" xfId="0" applyFont="1" applyFill="1" applyBorder="1" applyAlignment="1">
      <alignment vertical="center" wrapText="1"/>
    </xf>
    <xf numFmtId="0" fontId="2" fillId="62" borderId="20" xfId="0" applyFont="1" applyFill="1" applyBorder="1" applyAlignment="1">
      <alignment vertical="center" wrapText="1"/>
    </xf>
    <xf numFmtId="0" fontId="2" fillId="62" borderId="52" xfId="0" applyFont="1" applyFill="1" applyBorder="1" applyAlignment="1">
      <alignment vertical="center" wrapText="1"/>
    </xf>
    <xf numFmtId="0" fontId="2" fillId="62" borderId="21" xfId="0" applyFont="1" applyFill="1" applyBorder="1" applyAlignment="1">
      <alignment vertical="center" wrapText="1"/>
    </xf>
    <xf numFmtId="0" fontId="2" fillId="62" borderId="18" xfId="0" applyFont="1" applyFill="1" applyBorder="1" applyAlignment="1">
      <alignment vertical="center" wrapText="1"/>
    </xf>
    <xf numFmtId="0" fontId="2" fillId="62" borderId="67" xfId="0" applyFont="1" applyFill="1" applyBorder="1" applyAlignment="1">
      <alignment vertical="center" wrapText="1"/>
    </xf>
    <xf numFmtId="0" fontId="2" fillId="62" borderId="78" xfId="0" applyFont="1" applyFill="1" applyBorder="1" applyAlignment="1">
      <alignment vertical="center" wrapText="1"/>
    </xf>
    <xf numFmtId="0" fontId="2" fillId="62" borderId="42" xfId="0" applyFont="1" applyFill="1" applyBorder="1" applyAlignment="1">
      <alignment vertical="center" wrapText="1"/>
    </xf>
    <xf numFmtId="0" fontId="2" fillId="62" borderId="88" xfId="0" applyFont="1" applyFill="1" applyBorder="1" applyAlignment="1">
      <alignment vertical="center" wrapText="1"/>
    </xf>
    <xf numFmtId="0" fontId="2" fillId="62" borderId="54" xfId="0" applyFont="1" applyFill="1" applyBorder="1" applyAlignment="1">
      <alignment vertical="center" wrapText="1"/>
    </xf>
    <xf numFmtId="0" fontId="2" fillId="62" borderId="41" xfId="0" applyFont="1" applyFill="1" applyBorder="1" applyAlignment="1">
      <alignment vertical="center" wrapText="1"/>
    </xf>
    <xf numFmtId="0" fontId="2" fillId="62" borderId="92" xfId="0" applyFont="1" applyFill="1" applyBorder="1" applyAlignment="1">
      <alignment vertical="center" wrapText="1"/>
    </xf>
    <xf numFmtId="0" fontId="2" fillId="62" borderId="90" xfId="0" applyFont="1" applyFill="1" applyBorder="1" applyAlignment="1">
      <alignment vertical="center" wrapText="1"/>
    </xf>
    <xf numFmtId="0" fontId="2" fillId="62" borderId="83" xfId="0" applyFont="1" applyFill="1" applyBorder="1" applyAlignment="1">
      <alignment vertical="center" wrapText="1"/>
    </xf>
    <xf numFmtId="0" fontId="22" fillId="26" borderId="33" xfId="0" applyFont="1" applyFill="1" applyBorder="1" applyAlignment="1">
      <alignment horizontal="center" vertical="center" wrapText="1"/>
    </xf>
    <xf numFmtId="0" fontId="30" fillId="26" borderId="29" xfId="0" applyFont="1" applyFill="1" applyBorder="1" applyAlignment="1">
      <alignment horizontal="center" vertical="center" wrapText="1"/>
    </xf>
    <xf numFmtId="0" fontId="30" fillId="26" borderId="53" xfId="0" applyFont="1" applyFill="1" applyBorder="1" applyAlignment="1">
      <alignment horizontal="center" vertical="center" wrapText="1"/>
    </xf>
    <xf numFmtId="0" fontId="22" fillId="26" borderId="48" xfId="0" applyFont="1" applyFill="1" applyBorder="1" applyAlignment="1">
      <alignment horizontal="center" vertical="center" wrapText="1"/>
    </xf>
    <xf numFmtId="0" fontId="22" fillId="26" borderId="37" xfId="0" applyFont="1" applyFill="1" applyBorder="1" applyAlignment="1">
      <alignment horizontal="center" vertical="center" wrapText="1"/>
    </xf>
    <xf numFmtId="0" fontId="28" fillId="26" borderId="29" xfId="0" applyFont="1" applyFill="1" applyBorder="1" applyAlignment="1">
      <alignment horizontal="center" vertical="center" wrapText="1"/>
    </xf>
    <xf numFmtId="0" fontId="28" fillId="26" borderId="53" xfId="0" applyFont="1" applyFill="1" applyBorder="1" applyAlignment="1">
      <alignment horizontal="center" vertical="center" wrapText="1"/>
    </xf>
    <xf numFmtId="0" fontId="28" fillId="26" borderId="23" xfId="0" applyFont="1" applyFill="1" applyBorder="1" applyAlignment="1">
      <alignment horizontal="center" vertical="center" wrapText="1"/>
    </xf>
    <xf numFmtId="0" fontId="28" fillId="26" borderId="36" xfId="0" applyFont="1" applyFill="1" applyBorder="1" applyAlignment="1">
      <alignment horizontal="center" vertical="center" wrapText="1"/>
    </xf>
    <xf numFmtId="0" fontId="28" fillId="26" borderId="38" xfId="0" applyFont="1" applyFill="1" applyBorder="1" applyAlignment="1">
      <alignment horizontal="center" vertical="center" wrapText="1"/>
    </xf>
    <xf numFmtId="0" fontId="28" fillId="26" borderId="49" xfId="0" applyFont="1" applyFill="1" applyBorder="1" applyAlignment="1">
      <alignment horizontal="center" vertical="center" wrapText="1"/>
    </xf>
    <xf numFmtId="0" fontId="28" fillId="26" borderId="50" xfId="0" applyFont="1" applyFill="1" applyBorder="1" applyAlignment="1">
      <alignment horizontal="center" vertical="center" wrapText="1"/>
    </xf>
    <xf numFmtId="0" fontId="28" fillId="26" borderId="51" xfId="0" applyFont="1" applyFill="1" applyBorder="1" applyAlignment="1">
      <alignment horizontal="center" vertical="center" wrapText="1"/>
    </xf>
    <xf numFmtId="177" fontId="28" fillId="26" borderId="29" xfId="0" applyNumberFormat="1" applyFont="1" applyFill="1" applyBorder="1" applyAlignment="1">
      <alignment horizontal="center" vertical="center" wrapText="1"/>
    </xf>
    <xf numFmtId="177" fontId="28" fillId="26" borderId="53" xfId="0" applyNumberFormat="1" applyFont="1" applyFill="1" applyBorder="1" applyAlignment="1">
      <alignment horizontal="center" vertical="center" wrapText="1"/>
    </xf>
  </cellXfs>
  <cellStyles count="85">
    <cellStyle name="20% - Accent1" xfId="1" xr:uid="{00000000-0005-0000-0000-000000000000}"/>
    <cellStyle name="20% - Accent2" xfId="2" xr:uid="{00000000-0005-0000-0000-000001000000}"/>
    <cellStyle name="20% - Accent3" xfId="3" xr:uid="{00000000-0005-0000-0000-000002000000}"/>
    <cellStyle name="20% - Accent4" xfId="4" xr:uid="{00000000-0005-0000-0000-000003000000}"/>
    <cellStyle name="20% - Accent5" xfId="5" xr:uid="{00000000-0005-0000-0000-000004000000}"/>
    <cellStyle name="20% - Accent6" xfId="6" xr:uid="{00000000-0005-0000-0000-000005000000}"/>
    <cellStyle name="20% - 강조색1 2" xfId="44" xr:uid="{00000000-0005-0000-0000-000006000000}"/>
    <cellStyle name="20% - 강조색2 2" xfId="45" xr:uid="{00000000-0005-0000-0000-000007000000}"/>
    <cellStyle name="20% - 강조색3 2" xfId="46" xr:uid="{00000000-0005-0000-0000-000008000000}"/>
    <cellStyle name="20% - 강조색4 2" xfId="47" xr:uid="{00000000-0005-0000-0000-000009000000}"/>
    <cellStyle name="20% - 강조색5 2" xfId="48" xr:uid="{00000000-0005-0000-0000-00000A000000}"/>
    <cellStyle name="20% - 강조색6 2" xfId="49" xr:uid="{00000000-0005-0000-0000-00000B000000}"/>
    <cellStyle name="40% - Accent1" xfId="7" xr:uid="{00000000-0005-0000-0000-00000C000000}"/>
    <cellStyle name="40% - Accent2" xfId="8" xr:uid="{00000000-0005-0000-0000-00000D000000}"/>
    <cellStyle name="40% - Accent3" xfId="9" xr:uid="{00000000-0005-0000-0000-00000E000000}"/>
    <cellStyle name="40% - Accent4" xfId="10" xr:uid="{00000000-0005-0000-0000-00000F000000}"/>
    <cellStyle name="40% - Accent5" xfId="11" xr:uid="{00000000-0005-0000-0000-000010000000}"/>
    <cellStyle name="40% - Accent6" xfId="12" xr:uid="{00000000-0005-0000-0000-000011000000}"/>
    <cellStyle name="40% - 강조색1 2" xfId="50" xr:uid="{00000000-0005-0000-0000-000012000000}"/>
    <cellStyle name="40% - 강조색2 2" xfId="51" xr:uid="{00000000-0005-0000-0000-000013000000}"/>
    <cellStyle name="40% - 강조색3 2" xfId="52" xr:uid="{00000000-0005-0000-0000-000014000000}"/>
    <cellStyle name="40% - 강조색4 2" xfId="53" xr:uid="{00000000-0005-0000-0000-000015000000}"/>
    <cellStyle name="40% - 강조색5 2" xfId="54" xr:uid="{00000000-0005-0000-0000-000016000000}"/>
    <cellStyle name="40% - 강조색6 2" xfId="55" xr:uid="{00000000-0005-0000-0000-000017000000}"/>
    <cellStyle name="60% - Accent1" xfId="13" xr:uid="{00000000-0005-0000-0000-000018000000}"/>
    <cellStyle name="60% - Accent2" xfId="14" xr:uid="{00000000-0005-0000-0000-000019000000}"/>
    <cellStyle name="60% - Accent3" xfId="15" xr:uid="{00000000-0005-0000-0000-00001A000000}"/>
    <cellStyle name="60% - Accent4" xfId="16" xr:uid="{00000000-0005-0000-0000-00001B000000}"/>
    <cellStyle name="60% - Accent5" xfId="17" xr:uid="{00000000-0005-0000-0000-00001C000000}"/>
    <cellStyle name="60% - Accent6" xfId="18" xr:uid="{00000000-0005-0000-0000-00001D000000}"/>
    <cellStyle name="60% - 강조색1 2" xfId="56" xr:uid="{00000000-0005-0000-0000-00001E000000}"/>
    <cellStyle name="60% - 강조색2 2" xfId="57" xr:uid="{00000000-0005-0000-0000-00001F000000}"/>
    <cellStyle name="60% - 강조색3 2" xfId="58" xr:uid="{00000000-0005-0000-0000-000020000000}"/>
    <cellStyle name="60% - 강조색4 2" xfId="59" xr:uid="{00000000-0005-0000-0000-000021000000}"/>
    <cellStyle name="60% - 강조색5 2" xfId="60" xr:uid="{00000000-0005-0000-0000-000022000000}"/>
    <cellStyle name="60% - 강조색6 2" xfId="61" xr:uid="{00000000-0005-0000-0000-000023000000}"/>
    <cellStyle name="Accent1" xfId="19" xr:uid="{00000000-0005-0000-0000-000024000000}"/>
    <cellStyle name="Accent2" xfId="20" xr:uid="{00000000-0005-0000-0000-000025000000}"/>
    <cellStyle name="Accent3" xfId="21" xr:uid="{00000000-0005-0000-0000-000026000000}"/>
    <cellStyle name="Accent4" xfId="22" xr:uid="{00000000-0005-0000-0000-000027000000}"/>
    <cellStyle name="Accent5" xfId="23" xr:uid="{00000000-0005-0000-0000-000028000000}"/>
    <cellStyle name="Accent6" xfId="24" xr:uid="{00000000-0005-0000-0000-000029000000}"/>
    <cellStyle name="Bad" xfId="25" xr:uid="{00000000-0005-0000-0000-00002A000000}"/>
    <cellStyle name="Calculation" xfId="26" xr:uid="{00000000-0005-0000-0000-00002B000000}"/>
    <cellStyle name="Check Cell" xfId="27" xr:uid="{00000000-0005-0000-0000-00002C000000}"/>
    <cellStyle name="Explanatory Text" xfId="28" xr:uid="{00000000-0005-0000-0000-00002D000000}"/>
    <cellStyle name="Good" xfId="29" xr:uid="{00000000-0005-0000-0000-00002E000000}"/>
    <cellStyle name="Heading 1" xfId="30" xr:uid="{00000000-0005-0000-0000-00002F000000}"/>
    <cellStyle name="Heading 2" xfId="31" xr:uid="{00000000-0005-0000-0000-000030000000}"/>
    <cellStyle name="Heading 3" xfId="32" xr:uid="{00000000-0005-0000-0000-000031000000}"/>
    <cellStyle name="Heading 4" xfId="33" xr:uid="{00000000-0005-0000-0000-000032000000}"/>
    <cellStyle name="Input" xfId="34" xr:uid="{00000000-0005-0000-0000-000033000000}"/>
    <cellStyle name="Linked Cell" xfId="35" xr:uid="{00000000-0005-0000-0000-000034000000}"/>
    <cellStyle name="Neutral" xfId="36" xr:uid="{00000000-0005-0000-0000-000035000000}"/>
    <cellStyle name="Note" xfId="37" xr:uid="{00000000-0005-0000-0000-000036000000}"/>
    <cellStyle name="Output" xfId="38" xr:uid="{00000000-0005-0000-0000-000037000000}"/>
    <cellStyle name="Title" xfId="39" xr:uid="{00000000-0005-0000-0000-000038000000}"/>
    <cellStyle name="Total" xfId="40" xr:uid="{00000000-0005-0000-0000-000039000000}"/>
    <cellStyle name="Warning Text" xfId="41" xr:uid="{00000000-0005-0000-0000-00003A000000}"/>
    <cellStyle name="강조색1 2" xfId="62" xr:uid="{00000000-0005-0000-0000-00003B000000}"/>
    <cellStyle name="강조색2 2" xfId="63" xr:uid="{00000000-0005-0000-0000-00003C000000}"/>
    <cellStyle name="강조색3 2" xfId="64" xr:uid="{00000000-0005-0000-0000-00003D000000}"/>
    <cellStyle name="강조색4 2" xfId="65" xr:uid="{00000000-0005-0000-0000-00003E000000}"/>
    <cellStyle name="강조색5 2" xfId="66" xr:uid="{00000000-0005-0000-0000-00003F000000}"/>
    <cellStyle name="강조색6 2" xfId="67" xr:uid="{00000000-0005-0000-0000-000040000000}"/>
    <cellStyle name="경고문 2" xfId="68" xr:uid="{00000000-0005-0000-0000-000041000000}"/>
    <cellStyle name="계산 2" xfId="69" xr:uid="{00000000-0005-0000-0000-000042000000}"/>
    <cellStyle name="나쁨 2" xfId="70" xr:uid="{00000000-0005-0000-0000-000043000000}"/>
    <cellStyle name="메모 2" xfId="71" xr:uid="{00000000-0005-0000-0000-000044000000}"/>
    <cellStyle name="보통 2" xfId="72" xr:uid="{00000000-0005-0000-0000-000045000000}"/>
    <cellStyle name="설명 텍스트 2" xfId="73" xr:uid="{00000000-0005-0000-0000-000046000000}"/>
    <cellStyle name="셀 확인 2" xfId="74" xr:uid="{00000000-0005-0000-0000-000047000000}"/>
    <cellStyle name="연결된 셀 2" xfId="75" xr:uid="{00000000-0005-0000-0000-000048000000}"/>
    <cellStyle name="요약 2" xfId="76" xr:uid="{00000000-0005-0000-0000-000049000000}"/>
    <cellStyle name="입력 2" xfId="77" xr:uid="{00000000-0005-0000-0000-00004A000000}"/>
    <cellStyle name="제목 1 2" xfId="79" xr:uid="{00000000-0005-0000-0000-00004B000000}"/>
    <cellStyle name="제목 2 2" xfId="80" xr:uid="{00000000-0005-0000-0000-00004C000000}"/>
    <cellStyle name="제목 3 2" xfId="81" xr:uid="{00000000-0005-0000-0000-00004D000000}"/>
    <cellStyle name="제목 4 2" xfId="82" xr:uid="{00000000-0005-0000-0000-00004E000000}"/>
    <cellStyle name="제목 5" xfId="78" xr:uid="{00000000-0005-0000-0000-00004F000000}"/>
    <cellStyle name="좋음 2" xfId="83" xr:uid="{00000000-0005-0000-0000-000050000000}"/>
    <cellStyle name="출력 2" xfId="84" xr:uid="{00000000-0005-0000-0000-000051000000}"/>
    <cellStyle name="표준" xfId="0" builtinId="0"/>
    <cellStyle name="표준 2" xfId="43" xr:uid="{00000000-0005-0000-0000-000053000000}"/>
    <cellStyle name="표준 3" xfId="42" xr:uid="{00000000-0005-0000-0000-000054000000}"/>
  </cellStyles>
  <dxfs count="5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1" tint="0.24994659260841701"/>
        </patternFill>
      </fill>
    </dxf>
    <dxf>
      <fill>
        <patternFill>
          <bgColor theme="1" tint="0.24994659260841701"/>
        </patternFill>
      </fill>
    </dxf>
    <dxf>
      <fill>
        <patternFill>
          <bgColor theme="1" tint="0.24994659260841701"/>
        </patternFill>
      </fill>
    </dxf>
  </dxfs>
  <tableStyles count="0" defaultTableStyle="TableStyleMedium9" defaultPivotStyle="PivotStyleLight16"/>
  <colors>
    <mruColors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6"/>
  <sheetViews>
    <sheetView showGridLines="0" tabSelected="1" zoomScale="70" zoomScaleNormal="70" workbookViewId="0">
      <pane xSplit="4" ySplit="5" topLeftCell="I6" activePane="bottomRight" state="frozen"/>
      <selection pane="topRight" activeCell="E1" sqref="E1"/>
      <selection pane="bottomLeft" activeCell="A6" sqref="A6"/>
      <selection pane="bottomRight" activeCell="AE49" sqref="AE49"/>
    </sheetView>
  </sheetViews>
  <sheetFormatPr defaultColWidth="9" defaultRowHeight="16.5" x14ac:dyDescent="0.3"/>
  <cols>
    <col min="1" max="1" width="27.625" style="67" customWidth="1"/>
    <col min="2" max="3" width="3.625" style="68" customWidth="1"/>
    <col min="4" max="4" width="85.375" style="68" customWidth="1"/>
    <col min="5" max="5" width="9.625" style="69" bestFit="1" customWidth="1"/>
    <col min="6" max="6" width="10.625" style="69" bestFit="1" customWidth="1"/>
    <col min="7" max="7" width="6.25" style="70" customWidth="1"/>
    <col min="8" max="8" width="8.75" style="70" hidden="1" customWidth="1"/>
    <col min="9" max="9" width="23" style="70" customWidth="1"/>
    <col min="10" max="10" width="32.375" style="70" customWidth="1"/>
    <col min="11" max="24" width="3.75" style="1" customWidth="1"/>
    <col min="25" max="25" width="22" style="1" customWidth="1"/>
    <col min="26" max="16384" width="9" style="1"/>
  </cols>
  <sheetData>
    <row r="1" spans="1:25" x14ac:dyDescent="0.3">
      <c r="A1" s="1"/>
      <c r="B1" s="1"/>
      <c r="C1" s="74"/>
      <c r="D1" s="1"/>
      <c r="E1" s="67" t="s">
        <v>9</v>
      </c>
      <c r="F1" s="74">
        <v>45644</v>
      </c>
    </row>
    <row r="2" spans="1:25" ht="5.0999999999999996" customHeight="1" x14ac:dyDescent="0.3"/>
    <row r="3" spans="1:25" ht="16.5" customHeight="1" x14ac:dyDescent="0.3">
      <c r="A3" s="226" t="s">
        <v>6</v>
      </c>
      <c r="B3" s="228" t="s">
        <v>5</v>
      </c>
      <c r="C3" s="229"/>
      <c r="D3" s="230"/>
      <c r="E3" s="234" t="s">
        <v>10</v>
      </c>
      <c r="F3" s="234" t="s">
        <v>11</v>
      </c>
      <c r="G3" s="226" t="s">
        <v>4</v>
      </c>
      <c r="H3" s="226" t="s">
        <v>7</v>
      </c>
      <c r="I3" s="226" t="s">
        <v>2</v>
      </c>
      <c r="J3" s="222" t="s">
        <v>3</v>
      </c>
      <c r="K3" s="224" t="s">
        <v>0</v>
      </c>
      <c r="L3" s="225"/>
      <c r="M3" s="225"/>
      <c r="N3" s="225"/>
      <c r="O3" s="225"/>
      <c r="P3" s="225"/>
      <c r="Q3" s="225"/>
      <c r="R3" s="225"/>
      <c r="S3" s="225"/>
      <c r="T3" s="225"/>
      <c r="U3" s="225"/>
      <c r="V3" s="225"/>
      <c r="W3" s="225"/>
      <c r="X3" s="225"/>
      <c r="Y3" s="221" t="s">
        <v>1</v>
      </c>
    </row>
    <row r="4" spans="1:25" ht="16.5" customHeight="1" x14ac:dyDescent="0.3">
      <c r="A4" s="227"/>
      <c r="B4" s="231"/>
      <c r="C4" s="232"/>
      <c r="D4" s="233"/>
      <c r="E4" s="235"/>
      <c r="F4" s="235"/>
      <c r="G4" s="227"/>
      <c r="H4" s="227"/>
      <c r="I4" s="227"/>
      <c r="J4" s="223"/>
      <c r="K4" s="201" t="s">
        <v>31</v>
      </c>
      <c r="L4" s="201" t="s">
        <v>32</v>
      </c>
      <c r="M4" s="201" t="s">
        <v>15</v>
      </c>
      <c r="N4" s="201" t="s">
        <v>16</v>
      </c>
      <c r="O4" s="201" t="s">
        <v>17</v>
      </c>
      <c r="P4" s="201" t="s">
        <v>18</v>
      </c>
      <c r="Q4" s="201" t="s">
        <v>19</v>
      </c>
      <c r="R4" s="201" t="s">
        <v>20</v>
      </c>
      <c r="S4" s="201" t="s">
        <v>21</v>
      </c>
      <c r="T4" s="201" t="s">
        <v>22</v>
      </c>
      <c r="U4" s="201" t="s">
        <v>25</v>
      </c>
      <c r="V4" s="201" t="s">
        <v>26</v>
      </c>
      <c r="W4" s="201" t="s">
        <v>27</v>
      </c>
      <c r="X4" s="201" t="s">
        <v>28</v>
      </c>
      <c r="Y4" s="221"/>
    </row>
    <row r="5" spans="1:25" ht="16.5" hidden="1" customHeight="1" x14ac:dyDescent="0.3">
      <c r="A5" s="46"/>
      <c r="B5" s="71"/>
      <c r="C5" s="71"/>
      <c r="D5" s="72"/>
      <c r="E5" s="73"/>
      <c r="F5" s="73"/>
      <c r="G5" s="71"/>
      <c r="H5" s="71"/>
      <c r="I5" s="71"/>
      <c r="J5" s="152"/>
      <c r="K5" s="75">
        <f>F1</f>
        <v>45644</v>
      </c>
      <c r="L5" s="76">
        <f>K5+1</f>
        <v>45645</v>
      </c>
      <c r="M5" s="76">
        <f>L5+1</f>
        <v>45646</v>
      </c>
      <c r="N5" s="76">
        <f>M5+1</f>
        <v>45647</v>
      </c>
      <c r="O5" s="77">
        <f>N5+1</f>
        <v>45648</v>
      </c>
      <c r="P5" s="75">
        <f>K5+7</f>
        <v>45651</v>
      </c>
      <c r="Q5" s="76" t="e">
        <f>#REF!+1</f>
        <v>#REF!</v>
      </c>
      <c r="R5" s="78" t="e">
        <f>Q5+1</f>
        <v>#REF!</v>
      </c>
      <c r="S5" s="77" t="e">
        <f>R5+1</f>
        <v>#REF!</v>
      </c>
      <c r="T5" s="75">
        <f>P5+7</f>
        <v>45658</v>
      </c>
      <c r="U5" s="75" t="e">
        <f t="shared" ref="U5:X5" si="0">Q5+7</f>
        <v>#REF!</v>
      </c>
      <c r="V5" s="75" t="e">
        <f t="shared" si="0"/>
        <v>#REF!</v>
      </c>
      <c r="W5" s="190" t="e">
        <f t="shared" si="0"/>
        <v>#REF!</v>
      </c>
      <c r="X5" s="179">
        <f t="shared" si="0"/>
        <v>45665</v>
      </c>
      <c r="Y5" s="45"/>
    </row>
    <row r="6" spans="1:25" s="3" customFormat="1" x14ac:dyDescent="0.3">
      <c r="A6" s="47" t="s">
        <v>8</v>
      </c>
      <c r="B6" s="48"/>
      <c r="C6" s="48"/>
      <c r="D6" s="49"/>
      <c r="E6" s="50"/>
      <c r="F6" s="83"/>
      <c r="G6" s="84"/>
      <c r="H6" s="85"/>
      <c r="I6" s="84"/>
      <c r="J6" s="153"/>
      <c r="K6" s="25"/>
      <c r="L6" s="24"/>
      <c r="M6" s="24"/>
      <c r="N6" s="24"/>
      <c r="O6" s="23"/>
      <c r="P6" s="25"/>
      <c r="Q6" s="24"/>
      <c r="R6" s="44"/>
      <c r="S6" s="23"/>
      <c r="T6" s="25"/>
      <c r="U6" s="24"/>
      <c r="V6" s="24"/>
      <c r="W6" s="191"/>
      <c r="X6" s="180"/>
      <c r="Y6" s="2"/>
    </row>
    <row r="7" spans="1:25" s="27" customFormat="1" ht="17.100000000000001" customHeight="1" x14ac:dyDescent="0.3">
      <c r="A7" s="51" t="s">
        <v>41</v>
      </c>
      <c r="B7" s="52" t="s">
        <v>33</v>
      </c>
      <c r="C7" s="53"/>
      <c r="D7" s="54"/>
      <c r="E7" s="55"/>
      <c r="F7" s="86"/>
      <c r="G7" s="87"/>
      <c r="H7" s="88"/>
      <c r="I7" s="89"/>
      <c r="J7" s="154"/>
      <c r="K7" s="28"/>
      <c r="L7" s="29"/>
      <c r="M7" s="29"/>
      <c r="N7" s="29"/>
      <c r="O7" s="30"/>
      <c r="P7" s="28"/>
      <c r="Q7" s="41"/>
      <c r="R7" s="42"/>
      <c r="S7" s="43"/>
      <c r="T7" s="28"/>
      <c r="U7" s="31"/>
      <c r="V7" s="41"/>
      <c r="W7" s="192"/>
      <c r="X7" s="181"/>
      <c r="Y7" s="17"/>
    </row>
    <row r="8" spans="1:25" s="27" customFormat="1" ht="17.100000000000001" customHeight="1" x14ac:dyDescent="0.3">
      <c r="A8" s="56"/>
      <c r="B8" s="57"/>
      <c r="C8" s="58" t="s">
        <v>39</v>
      </c>
      <c r="D8" s="59"/>
      <c r="E8" s="60"/>
      <c r="F8" s="90"/>
      <c r="G8" s="91"/>
      <c r="H8" s="92"/>
      <c r="I8" s="93"/>
      <c r="J8" s="101"/>
      <c r="K8" s="35"/>
      <c r="L8" s="34"/>
      <c r="M8" s="34"/>
      <c r="N8" s="34"/>
      <c r="O8" s="32"/>
      <c r="P8" s="4"/>
      <c r="Q8" s="5"/>
      <c r="R8" s="5"/>
      <c r="S8" s="32"/>
      <c r="T8" s="4"/>
      <c r="U8" s="34"/>
      <c r="V8" s="5"/>
      <c r="W8" s="193"/>
      <c r="X8" s="182"/>
      <c r="Y8" s="11"/>
    </row>
    <row r="9" spans="1:25" s="27" customFormat="1" ht="17.100000000000001" customHeight="1" x14ac:dyDescent="0.3">
      <c r="A9" s="56"/>
      <c r="B9" s="57"/>
      <c r="C9" s="61"/>
      <c r="D9" s="132" t="s">
        <v>12</v>
      </c>
      <c r="E9" s="111"/>
      <c r="F9" s="112"/>
      <c r="G9" s="104"/>
      <c r="H9" s="113"/>
      <c r="I9" s="114" t="s">
        <v>55</v>
      </c>
      <c r="J9" s="114"/>
      <c r="K9" s="202"/>
      <c r="L9" s="117"/>
      <c r="M9" s="117"/>
      <c r="N9" s="117"/>
      <c r="O9" s="118"/>
      <c r="P9" s="115"/>
      <c r="Q9" s="116"/>
      <c r="R9" s="116"/>
      <c r="S9" s="118"/>
      <c r="T9" s="115"/>
      <c r="U9" s="117"/>
      <c r="V9" s="116"/>
      <c r="W9" s="194"/>
      <c r="X9" s="183"/>
      <c r="Y9" s="107"/>
    </row>
    <row r="10" spans="1:25" s="27" customFormat="1" ht="17.100000000000001" customHeight="1" x14ac:dyDescent="0.3">
      <c r="A10" s="56"/>
      <c r="B10" s="57"/>
      <c r="C10" s="58" t="s">
        <v>96</v>
      </c>
      <c r="D10" s="158"/>
      <c r="E10" s="159"/>
      <c r="F10" s="160"/>
      <c r="G10" s="100"/>
      <c r="H10" s="119"/>
      <c r="I10" s="101"/>
      <c r="J10" s="101"/>
      <c r="K10" s="35"/>
      <c r="L10" s="34"/>
      <c r="M10" s="34"/>
      <c r="N10" s="34"/>
      <c r="O10" s="32"/>
      <c r="P10" s="4"/>
      <c r="Q10" s="5"/>
      <c r="R10" s="5"/>
      <c r="S10" s="32"/>
      <c r="T10" s="4"/>
      <c r="U10" s="34"/>
      <c r="V10" s="5"/>
      <c r="W10" s="193"/>
      <c r="X10" s="184"/>
      <c r="Y10" s="11"/>
    </row>
    <row r="11" spans="1:25" s="27" customFormat="1" ht="17.100000000000001" customHeight="1" x14ac:dyDescent="0.3">
      <c r="A11" s="56"/>
      <c r="B11" s="57"/>
      <c r="C11" s="61"/>
      <c r="D11" s="132" t="s">
        <v>99</v>
      </c>
      <c r="E11" s="111"/>
      <c r="F11" s="112"/>
      <c r="G11" s="104"/>
      <c r="H11" s="113"/>
      <c r="I11" s="114" t="s">
        <v>54</v>
      </c>
      <c r="J11" s="114"/>
      <c r="K11" s="202"/>
      <c r="L11" s="117"/>
      <c r="M11" s="117"/>
      <c r="N11" s="117"/>
      <c r="O11" s="118"/>
      <c r="P11" s="115"/>
      <c r="Q11" s="116"/>
      <c r="R11" s="116"/>
      <c r="S11" s="118"/>
      <c r="T11" s="115"/>
      <c r="U11" s="117"/>
      <c r="V11" s="116"/>
      <c r="W11" s="194"/>
      <c r="X11" s="183"/>
      <c r="Y11" s="107"/>
    </row>
    <row r="12" spans="1:25" s="27" customFormat="1" ht="17.100000000000001" customHeight="1" x14ac:dyDescent="0.3">
      <c r="A12" s="56"/>
      <c r="B12" s="57"/>
      <c r="C12" s="58" t="s">
        <v>97</v>
      </c>
      <c r="D12" s="158"/>
      <c r="E12" s="159"/>
      <c r="F12" s="160"/>
      <c r="G12" s="100"/>
      <c r="H12" s="119"/>
      <c r="I12" s="101"/>
      <c r="J12" s="101"/>
      <c r="K12" s="35"/>
      <c r="L12" s="34"/>
      <c r="M12" s="34"/>
      <c r="N12" s="34"/>
      <c r="O12" s="32"/>
      <c r="P12" s="4"/>
      <c r="Q12" s="5"/>
      <c r="R12" s="5"/>
      <c r="S12" s="32"/>
      <c r="T12" s="4"/>
      <c r="U12" s="34"/>
      <c r="V12" s="5"/>
      <c r="W12" s="193"/>
      <c r="X12" s="184"/>
      <c r="Y12" s="11"/>
    </row>
    <row r="13" spans="1:25" s="27" customFormat="1" ht="17.100000000000001" customHeight="1" x14ac:dyDescent="0.3">
      <c r="A13" s="56"/>
      <c r="B13" s="57"/>
      <c r="C13" s="61"/>
      <c r="D13" s="132" t="s">
        <v>99</v>
      </c>
      <c r="E13" s="111"/>
      <c r="F13" s="112"/>
      <c r="G13" s="104"/>
      <c r="H13" s="113"/>
      <c r="I13" s="114" t="s">
        <v>54</v>
      </c>
      <c r="J13" s="114"/>
      <c r="K13" s="202"/>
      <c r="L13" s="117"/>
      <c r="M13" s="117"/>
      <c r="N13" s="117"/>
      <c r="O13" s="118"/>
      <c r="P13" s="115"/>
      <c r="Q13" s="116"/>
      <c r="R13" s="116"/>
      <c r="S13" s="118"/>
      <c r="T13" s="115"/>
      <c r="U13" s="117"/>
      <c r="V13" s="116"/>
      <c r="W13" s="194"/>
      <c r="X13" s="183"/>
      <c r="Y13" s="107"/>
    </row>
    <row r="14" spans="1:25" s="27" customFormat="1" ht="17.100000000000001" customHeight="1" x14ac:dyDescent="0.3">
      <c r="A14" s="56"/>
      <c r="B14" s="57"/>
      <c r="C14" s="58" t="s">
        <v>98</v>
      </c>
      <c r="D14" s="158"/>
      <c r="E14" s="159"/>
      <c r="F14" s="160"/>
      <c r="G14" s="100"/>
      <c r="H14" s="119"/>
      <c r="I14" s="101"/>
      <c r="J14" s="101"/>
      <c r="K14" s="35"/>
      <c r="L14" s="34"/>
      <c r="M14" s="34"/>
      <c r="N14" s="34"/>
      <c r="O14" s="32"/>
      <c r="P14" s="4"/>
      <c r="Q14" s="5"/>
      <c r="R14" s="5"/>
      <c r="S14" s="32"/>
      <c r="T14" s="4"/>
      <c r="U14" s="34"/>
      <c r="V14" s="5"/>
      <c r="W14" s="193"/>
      <c r="X14" s="184"/>
      <c r="Y14" s="11"/>
    </row>
    <row r="15" spans="1:25" s="27" customFormat="1" ht="17.100000000000001" customHeight="1" x14ac:dyDescent="0.3">
      <c r="A15" s="56"/>
      <c r="B15" s="57"/>
      <c r="C15" s="61"/>
      <c r="D15" s="62" t="s">
        <v>14</v>
      </c>
      <c r="E15" s="63"/>
      <c r="F15" s="94"/>
      <c r="G15" s="95"/>
      <c r="H15" s="96"/>
      <c r="I15" s="97" t="s">
        <v>29</v>
      </c>
      <c r="J15" s="97"/>
      <c r="K15" s="203"/>
      <c r="L15" s="38"/>
      <c r="M15" s="38"/>
      <c r="N15" s="38"/>
      <c r="O15" s="36"/>
      <c r="P15" s="8"/>
      <c r="Q15" s="9"/>
      <c r="R15" s="9"/>
      <c r="S15" s="36"/>
      <c r="T15" s="8"/>
      <c r="U15" s="38"/>
      <c r="V15" s="9"/>
      <c r="W15" s="195"/>
      <c r="X15" s="182"/>
      <c r="Y15" s="12"/>
    </row>
    <row r="16" spans="1:25" s="27" customFormat="1" ht="17.100000000000001" customHeight="1" x14ac:dyDescent="0.3">
      <c r="A16" s="56"/>
      <c r="B16" s="57"/>
      <c r="C16" s="61"/>
      <c r="D16" s="62" t="s">
        <v>13</v>
      </c>
      <c r="E16" s="63"/>
      <c r="F16" s="94"/>
      <c r="G16" s="95"/>
      <c r="H16" s="96"/>
      <c r="I16" s="97" t="s">
        <v>57</v>
      </c>
      <c r="J16" s="97"/>
      <c r="K16" s="203"/>
      <c r="L16" s="38"/>
      <c r="M16" s="38"/>
      <c r="N16" s="38"/>
      <c r="O16" s="36"/>
      <c r="P16" s="8"/>
      <c r="Q16" s="9"/>
      <c r="R16" s="9"/>
      <c r="S16" s="36"/>
      <c r="T16" s="8"/>
      <c r="U16" s="38"/>
      <c r="V16" s="9"/>
      <c r="W16" s="195"/>
      <c r="X16" s="182"/>
      <c r="Y16" s="12"/>
    </row>
    <row r="17" spans="1:25" s="27" customFormat="1" ht="17.100000000000001" customHeight="1" x14ac:dyDescent="0.3">
      <c r="A17" s="56"/>
      <c r="B17" s="57"/>
      <c r="C17" s="61"/>
      <c r="D17" s="62" t="s">
        <v>30</v>
      </c>
      <c r="E17" s="63"/>
      <c r="F17" s="94"/>
      <c r="G17" s="95"/>
      <c r="H17" s="96"/>
      <c r="I17" s="97" t="s">
        <v>29</v>
      </c>
      <c r="J17" s="97" t="s">
        <v>37</v>
      </c>
      <c r="K17" s="203"/>
      <c r="L17" s="38"/>
      <c r="M17" s="38"/>
      <c r="N17" s="38"/>
      <c r="O17" s="36"/>
      <c r="P17" s="8"/>
      <c r="Q17" s="9"/>
      <c r="R17" s="9"/>
      <c r="S17" s="36"/>
      <c r="T17" s="8"/>
      <c r="U17" s="38"/>
      <c r="V17" s="9"/>
      <c r="W17" s="195"/>
      <c r="X17" s="182"/>
      <c r="Y17" s="12"/>
    </row>
    <row r="18" spans="1:25" s="27" customFormat="1" ht="17.100000000000001" customHeight="1" x14ac:dyDescent="0.3">
      <c r="A18" s="51" t="s">
        <v>42</v>
      </c>
      <c r="B18" s="52" t="s">
        <v>34</v>
      </c>
      <c r="C18" s="53"/>
      <c r="D18" s="54"/>
      <c r="E18" s="55"/>
      <c r="F18" s="86"/>
      <c r="G18" s="87"/>
      <c r="H18" s="88"/>
      <c r="I18" s="89"/>
      <c r="J18" s="154"/>
      <c r="K18" s="13"/>
      <c r="L18" s="14"/>
      <c r="M18" s="14"/>
      <c r="N18" s="14"/>
      <c r="O18" s="15"/>
      <c r="P18" s="13"/>
      <c r="Q18" s="14"/>
      <c r="R18" s="16"/>
      <c r="S18" s="15"/>
      <c r="T18" s="13"/>
      <c r="U18" s="14"/>
      <c r="V18" s="14"/>
      <c r="W18" s="196"/>
      <c r="X18" s="185"/>
      <c r="Y18" s="17"/>
    </row>
    <row r="19" spans="1:25" s="27" customFormat="1" ht="16.5" customHeight="1" x14ac:dyDescent="0.3">
      <c r="A19" s="56"/>
      <c r="B19" s="65"/>
      <c r="C19" s="141" t="s">
        <v>36</v>
      </c>
      <c r="D19" s="59"/>
      <c r="E19" s="60"/>
      <c r="F19" s="90"/>
      <c r="G19" s="91"/>
      <c r="H19" s="92"/>
      <c r="I19" s="93"/>
      <c r="J19" s="155"/>
      <c r="K19" s="35"/>
      <c r="L19" s="33"/>
      <c r="M19" s="34"/>
      <c r="N19" s="34"/>
      <c r="O19" s="32"/>
      <c r="P19" s="4"/>
      <c r="Q19" s="5"/>
      <c r="R19" s="5"/>
      <c r="S19" s="32"/>
      <c r="T19" s="4"/>
      <c r="U19" s="34"/>
      <c r="V19" s="5"/>
      <c r="W19" s="193"/>
      <c r="X19" s="184"/>
      <c r="Y19" s="11"/>
    </row>
    <row r="20" spans="1:25" s="27" customFormat="1" ht="17.100000000000001" customHeight="1" x14ac:dyDescent="0.3">
      <c r="A20" s="56"/>
      <c r="B20" s="65"/>
      <c r="C20" s="108"/>
      <c r="D20" s="161" t="s">
        <v>56</v>
      </c>
      <c r="E20" s="111"/>
      <c r="F20" s="112"/>
      <c r="G20" s="104"/>
      <c r="H20" s="113"/>
      <c r="I20" s="114" t="s">
        <v>58</v>
      </c>
      <c r="J20" s="162" t="s">
        <v>38</v>
      </c>
      <c r="K20" s="157"/>
      <c r="L20" s="204"/>
      <c r="M20" s="117"/>
      <c r="N20" s="117"/>
      <c r="O20" s="118"/>
      <c r="P20" s="115"/>
      <c r="Q20" s="116"/>
      <c r="R20" s="116"/>
      <c r="S20" s="118"/>
      <c r="T20" s="115"/>
      <c r="U20" s="117"/>
      <c r="V20" s="116"/>
      <c r="W20" s="194"/>
      <c r="X20" s="183"/>
      <c r="Y20" s="120"/>
    </row>
    <row r="21" spans="1:25" s="27" customFormat="1" ht="17.100000000000001" customHeight="1" x14ac:dyDescent="0.3">
      <c r="A21" s="56"/>
      <c r="B21" s="65"/>
      <c r="C21" s="58" t="s">
        <v>40</v>
      </c>
      <c r="D21" s="59"/>
      <c r="E21" s="60"/>
      <c r="F21" s="169"/>
      <c r="G21" s="91"/>
      <c r="H21" s="92"/>
      <c r="I21" s="101"/>
      <c r="J21" s="101"/>
      <c r="K21" s="4"/>
      <c r="L21" s="7"/>
      <c r="M21" s="5"/>
      <c r="N21" s="34"/>
      <c r="O21" s="6"/>
      <c r="P21" s="4"/>
      <c r="Q21" s="5"/>
      <c r="R21" s="5"/>
      <c r="S21" s="32"/>
      <c r="T21" s="4"/>
      <c r="U21" s="34"/>
      <c r="V21" s="5"/>
      <c r="W21" s="193"/>
      <c r="X21" s="184"/>
      <c r="Y21" s="11"/>
    </row>
    <row r="22" spans="1:25" s="27" customFormat="1" ht="17.100000000000001" customHeight="1" x14ac:dyDescent="0.3">
      <c r="A22" s="56"/>
      <c r="B22" s="65"/>
      <c r="C22" s="108"/>
      <c r="D22" s="109" t="s">
        <v>59</v>
      </c>
      <c r="E22" s="63"/>
      <c r="F22" s="94"/>
      <c r="G22" s="104"/>
      <c r="H22" s="105"/>
      <c r="I22" s="106" t="s">
        <v>35</v>
      </c>
      <c r="J22" s="142" t="s">
        <v>91</v>
      </c>
      <c r="K22" s="37"/>
      <c r="L22" s="205"/>
      <c r="M22" s="38"/>
      <c r="N22" s="38"/>
      <c r="O22" s="36"/>
      <c r="P22" s="8"/>
      <c r="Q22" s="9"/>
      <c r="R22" s="9"/>
      <c r="S22" s="10"/>
      <c r="T22" s="8"/>
      <c r="U22" s="38"/>
      <c r="V22" s="9"/>
      <c r="W22" s="195"/>
      <c r="X22" s="182"/>
      <c r="Y22" s="22"/>
    </row>
    <row r="23" spans="1:25" s="27" customFormat="1" ht="17.100000000000001" customHeight="1" x14ac:dyDescent="0.3">
      <c r="A23" s="51" t="s">
        <v>46</v>
      </c>
      <c r="B23" s="52" t="s">
        <v>43</v>
      </c>
      <c r="C23" s="53"/>
      <c r="D23" s="54"/>
      <c r="E23" s="55"/>
      <c r="F23" s="86"/>
      <c r="G23" s="87"/>
      <c r="H23" s="88"/>
      <c r="I23" s="89"/>
      <c r="J23" s="154"/>
      <c r="K23" s="28"/>
      <c r="L23" s="29"/>
      <c r="M23" s="29"/>
      <c r="N23" s="31"/>
      <c r="O23" s="30"/>
      <c r="P23" s="28"/>
      <c r="Q23" s="41"/>
      <c r="R23" s="42"/>
      <c r="S23" s="43"/>
      <c r="T23" s="28"/>
      <c r="U23" s="31"/>
      <c r="V23" s="41"/>
      <c r="W23" s="192"/>
      <c r="X23" s="181"/>
      <c r="Y23" s="17"/>
    </row>
    <row r="24" spans="1:25" s="27" customFormat="1" ht="17.100000000000001" customHeight="1" x14ac:dyDescent="0.3">
      <c r="A24" s="56"/>
      <c r="B24" s="57"/>
      <c r="C24" s="58" t="s">
        <v>44</v>
      </c>
      <c r="D24" s="59"/>
      <c r="E24" s="60"/>
      <c r="F24" s="90"/>
      <c r="G24" s="100"/>
      <c r="H24" s="119"/>
      <c r="I24" s="101"/>
      <c r="J24" s="101"/>
      <c r="K24" s="4"/>
      <c r="L24" s="7"/>
      <c r="M24" s="5"/>
      <c r="N24" s="34"/>
      <c r="O24" s="6"/>
      <c r="P24" s="4"/>
      <c r="Q24" s="5"/>
      <c r="R24" s="5"/>
      <c r="S24" s="32"/>
      <c r="T24" s="4"/>
      <c r="U24" s="34"/>
      <c r="V24" s="5"/>
      <c r="W24" s="193"/>
      <c r="X24" s="184"/>
      <c r="Y24" s="11"/>
    </row>
    <row r="25" spans="1:25" s="27" customFormat="1" ht="17.100000000000001" customHeight="1" x14ac:dyDescent="0.3">
      <c r="A25" s="56"/>
      <c r="B25" s="57"/>
      <c r="C25" s="61"/>
      <c r="D25" s="131" t="s">
        <v>60</v>
      </c>
      <c r="E25" s="63"/>
      <c r="F25" s="94"/>
      <c r="G25" s="95"/>
      <c r="H25" s="96"/>
      <c r="I25" s="97" t="s">
        <v>45</v>
      </c>
      <c r="J25" s="140"/>
      <c r="K25" s="203"/>
      <c r="L25" s="21"/>
      <c r="M25" s="9"/>
      <c r="N25" s="38"/>
      <c r="O25" s="10"/>
      <c r="P25" s="8"/>
      <c r="Q25" s="9"/>
      <c r="R25" s="9"/>
      <c r="S25" s="36"/>
      <c r="T25" s="8"/>
      <c r="U25" s="38"/>
      <c r="V25" s="9"/>
      <c r="W25" s="195"/>
      <c r="X25" s="182"/>
      <c r="Y25" s="22"/>
    </row>
    <row r="26" spans="1:25" s="27" customFormat="1" ht="17.100000000000001" customHeight="1" x14ac:dyDescent="0.3">
      <c r="A26" s="56"/>
      <c r="B26" s="57"/>
      <c r="C26" s="61"/>
      <c r="D26" s="131" t="s">
        <v>64</v>
      </c>
      <c r="E26" s="63"/>
      <c r="F26" s="94"/>
      <c r="G26" s="95"/>
      <c r="H26" s="96"/>
      <c r="I26" s="97" t="s">
        <v>45</v>
      </c>
      <c r="J26" s="140" t="s">
        <v>65</v>
      </c>
      <c r="K26" s="206"/>
      <c r="L26" s="125"/>
      <c r="M26" s="126"/>
      <c r="N26" s="127"/>
      <c r="O26" s="128"/>
      <c r="P26" s="124"/>
      <c r="Q26" s="126"/>
      <c r="R26" s="126"/>
      <c r="S26" s="129"/>
      <c r="T26" s="124"/>
      <c r="U26" s="127"/>
      <c r="V26" s="126"/>
      <c r="W26" s="197"/>
      <c r="X26" s="186"/>
      <c r="Y26" s="12"/>
    </row>
    <row r="27" spans="1:25" s="27" customFormat="1" ht="17.100000000000001" customHeight="1" x14ac:dyDescent="0.3">
      <c r="A27" s="56"/>
      <c r="B27" s="65"/>
      <c r="C27" s="61"/>
      <c r="D27" s="131" t="s">
        <v>61</v>
      </c>
      <c r="E27" s="133"/>
      <c r="F27" s="134"/>
      <c r="G27" s="104"/>
      <c r="H27" s="105"/>
      <c r="I27" s="106" t="s">
        <v>45</v>
      </c>
      <c r="J27" s="142" t="s">
        <v>53</v>
      </c>
      <c r="K27" s="207"/>
      <c r="L27" s="144"/>
      <c r="M27" s="138"/>
      <c r="O27" s="145"/>
      <c r="P27" s="137"/>
      <c r="Q27" s="138"/>
      <c r="R27" s="139"/>
      <c r="S27" s="136"/>
      <c r="T27" s="137"/>
      <c r="U27" s="135"/>
      <c r="V27" s="138"/>
      <c r="W27" s="198"/>
      <c r="X27" s="187"/>
      <c r="Y27" s="107"/>
    </row>
    <row r="28" spans="1:25" s="27" customFormat="1" ht="17.100000000000001" customHeight="1" x14ac:dyDescent="0.3">
      <c r="A28" s="51" t="s">
        <v>47</v>
      </c>
      <c r="B28" s="52" t="s">
        <v>67</v>
      </c>
      <c r="C28" s="53"/>
      <c r="D28" s="54"/>
      <c r="E28" s="55"/>
      <c r="F28" s="86"/>
      <c r="G28" s="87"/>
      <c r="H28" s="88"/>
      <c r="I28" s="89"/>
      <c r="J28" s="154"/>
      <c r="K28" s="28"/>
      <c r="L28" s="29"/>
      <c r="M28" s="29"/>
      <c r="N28" s="31"/>
      <c r="O28" s="30"/>
      <c r="P28" s="28"/>
      <c r="Q28" s="41"/>
      <c r="R28" s="42"/>
      <c r="S28" s="43"/>
      <c r="T28" s="28"/>
      <c r="U28" s="31"/>
      <c r="V28" s="41"/>
      <c r="W28" s="192"/>
      <c r="X28" s="181"/>
      <c r="Y28" s="17"/>
    </row>
    <row r="29" spans="1:25" s="27" customFormat="1" ht="17.100000000000001" customHeight="1" x14ac:dyDescent="0.3">
      <c r="A29" s="56"/>
      <c r="B29" s="57"/>
      <c r="C29" s="58" t="s">
        <v>62</v>
      </c>
      <c r="D29" s="130"/>
      <c r="E29" s="60"/>
      <c r="F29" s="90"/>
      <c r="G29" s="91"/>
      <c r="H29" s="92"/>
      <c r="I29" s="101"/>
      <c r="J29" s="101"/>
      <c r="K29" s="4"/>
      <c r="L29" s="7"/>
      <c r="M29" s="5"/>
      <c r="N29" s="34"/>
      <c r="O29" s="6"/>
      <c r="P29" s="4"/>
      <c r="Q29" s="5"/>
      <c r="R29" s="5"/>
      <c r="S29" s="32"/>
      <c r="T29" s="4"/>
      <c r="U29" s="34"/>
      <c r="V29" s="5"/>
      <c r="W29" s="193"/>
      <c r="X29" s="184"/>
      <c r="Y29" s="11"/>
    </row>
    <row r="30" spans="1:25" s="27" customFormat="1" ht="17.100000000000001" customHeight="1" x14ac:dyDescent="0.3">
      <c r="A30" s="56"/>
      <c r="B30" s="57"/>
      <c r="C30" s="121"/>
      <c r="D30" s="131" t="s">
        <v>48</v>
      </c>
      <c r="E30" s="147"/>
      <c r="F30" s="148"/>
      <c r="G30" s="122"/>
      <c r="H30" s="123"/>
      <c r="I30" s="143" t="s">
        <v>49</v>
      </c>
      <c r="J30" s="143"/>
      <c r="K30" s="124"/>
      <c r="L30" s="125"/>
      <c r="M30" s="208"/>
      <c r="N30" s="127"/>
      <c r="O30" s="128"/>
      <c r="P30" s="124"/>
      <c r="Q30" s="126"/>
      <c r="R30" s="126"/>
      <c r="S30" s="129"/>
      <c r="T30" s="124"/>
      <c r="U30" s="127"/>
      <c r="V30" s="126"/>
      <c r="W30" s="197"/>
      <c r="X30" s="186"/>
      <c r="Y30" s="12"/>
    </row>
    <row r="31" spans="1:25" s="27" customFormat="1" ht="17.100000000000001" customHeight="1" x14ac:dyDescent="0.3">
      <c r="A31" s="56"/>
      <c r="B31" s="57"/>
      <c r="C31" s="121"/>
      <c r="D31" s="131" t="s">
        <v>50</v>
      </c>
      <c r="E31" s="147"/>
      <c r="F31" s="148"/>
      <c r="G31" s="122"/>
      <c r="H31" s="123"/>
      <c r="I31" s="97" t="s">
        <v>51</v>
      </c>
      <c r="J31" s="143"/>
      <c r="K31" s="124"/>
      <c r="L31" s="125"/>
      <c r="M31" s="208"/>
      <c r="N31" s="127"/>
      <c r="O31" s="128"/>
      <c r="P31" s="124"/>
      <c r="Q31" s="126"/>
      <c r="R31" s="126"/>
      <c r="S31" s="129"/>
      <c r="T31" s="124"/>
      <c r="U31" s="127"/>
      <c r="V31" s="126"/>
      <c r="W31" s="197"/>
      <c r="X31" s="186"/>
      <c r="Y31" s="12"/>
    </row>
    <row r="32" spans="1:25" s="27" customFormat="1" ht="17.100000000000001" customHeight="1" x14ac:dyDescent="0.3">
      <c r="A32" s="56"/>
      <c r="B32" s="57"/>
      <c r="C32" s="121"/>
      <c r="D32" s="164" t="s">
        <v>52</v>
      </c>
      <c r="E32" s="165"/>
      <c r="F32" s="166"/>
      <c r="G32" s="167"/>
      <c r="H32" s="150"/>
      <c r="I32" s="114" t="s">
        <v>49</v>
      </c>
      <c r="J32" s="106"/>
      <c r="K32" s="137"/>
      <c r="L32" s="144"/>
      <c r="M32" s="209"/>
      <c r="N32" s="135"/>
      <c r="O32" s="145"/>
      <c r="P32" s="137"/>
      <c r="Q32" s="138"/>
      <c r="R32" s="138"/>
      <c r="S32" s="136"/>
      <c r="T32" s="137"/>
      <c r="U32" s="135"/>
      <c r="V32" s="138"/>
      <c r="W32" s="198"/>
      <c r="X32" s="187"/>
      <c r="Y32" s="107"/>
    </row>
    <row r="33" spans="1:25" s="27" customFormat="1" ht="17.100000000000001" customHeight="1" x14ac:dyDescent="0.3">
      <c r="A33" s="56"/>
      <c r="B33" s="57"/>
      <c r="C33" s="58" t="s">
        <v>63</v>
      </c>
      <c r="D33" s="168"/>
      <c r="E33" s="60"/>
      <c r="F33" s="169"/>
      <c r="G33" s="91"/>
      <c r="H33" s="92"/>
      <c r="I33" s="101"/>
      <c r="J33" s="101"/>
      <c r="K33" s="4"/>
      <c r="L33" s="7"/>
      <c r="M33" s="5"/>
      <c r="N33" s="34"/>
      <c r="O33" s="6"/>
      <c r="P33" s="4"/>
      <c r="Q33" s="5"/>
      <c r="R33" s="5"/>
      <c r="S33" s="32"/>
      <c r="T33" s="4"/>
      <c r="U33" s="34"/>
      <c r="V33" s="5"/>
      <c r="W33" s="193"/>
      <c r="X33" s="184"/>
      <c r="Y33" s="11"/>
    </row>
    <row r="34" spans="1:25" s="27" customFormat="1" ht="17.100000000000001" customHeight="1" x14ac:dyDescent="0.3">
      <c r="A34" s="56"/>
      <c r="B34" s="57"/>
      <c r="C34" s="121"/>
      <c r="D34" s="131" t="s">
        <v>48</v>
      </c>
      <c r="E34" s="147"/>
      <c r="F34" s="148"/>
      <c r="G34" s="122"/>
      <c r="H34" s="123"/>
      <c r="I34" s="143" t="s">
        <v>49</v>
      </c>
      <c r="J34" s="143"/>
      <c r="K34" s="124"/>
      <c r="L34" s="125"/>
      <c r="M34" s="208"/>
      <c r="N34" s="127"/>
      <c r="O34" s="128"/>
      <c r="P34" s="124"/>
      <c r="Q34" s="126"/>
      <c r="R34" s="126"/>
      <c r="S34" s="129"/>
      <c r="T34" s="124"/>
      <c r="U34" s="127"/>
      <c r="V34" s="126"/>
      <c r="W34" s="197"/>
      <c r="X34" s="186"/>
      <c r="Y34" s="12"/>
    </row>
    <row r="35" spans="1:25" s="27" customFormat="1" ht="17.100000000000001" customHeight="1" x14ac:dyDescent="0.3">
      <c r="A35" s="56"/>
      <c r="B35" s="57"/>
      <c r="C35" s="61"/>
      <c r="D35" s="64" t="s">
        <v>50</v>
      </c>
      <c r="E35" s="147"/>
      <c r="F35" s="148"/>
      <c r="G35" s="122"/>
      <c r="H35" s="123"/>
      <c r="I35" s="97" t="s">
        <v>51</v>
      </c>
      <c r="J35" s="143"/>
      <c r="K35" s="124"/>
      <c r="L35" s="125"/>
      <c r="M35" s="208"/>
      <c r="N35" s="127"/>
      <c r="O35" s="128"/>
      <c r="P35" s="124"/>
      <c r="Q35" s="126"/>
      <c r="R35" s="126"/>
      <c r="S35" s="129"/>
      <c r="T35" s="124"/>
      <c r="U35" s="127"/>
      <c r="V35" s="126"/>
      <c r="W35" s="197"/>
      <c r="X35" s="186"/>
      <c r="Y35" s="12"/>
    </row>
    <row r="36" spans="1:25" s="27" customFormat="1" ht="17.100000000000001" customHeight="1" x14ac:dyDescent="0.3">
      <c r="A36" s="56"/>
      <c r="B36" s="57"/>
      <c r="C36" s="61"/>
      <c r="D36" s="132" t="s">
        <v>52</v>
      </c>
      <c r="E36" s="165"/>
      <c r="F36" s="166"/>
      <c r="G36" s="167"/>
      <c r="H36" s="150"/>
      <c r="I36" s="114" t="s">
        <v>49</v>
      </c>
      <c r="J36" s="106"/>
      <c r="K36" s="137"/>
      <c r="L36" s="144"/>
      <c r="M36" s="209"/>
      <c r="N36" s="135"/>
      <c r="O36" s="145"/>
      <c r="P36" s="137"/>
      <c r="Q36" s="138"/>
      <c r="R36" s="138"/>
      <c r="S36" s="136"/>
      <c r="T36" s="137"/>
      <c r="U36" s="135"/>
      <c r="V36" s="138"/>
      <c r="W36" s="198"/>
      <c r="X36" s="187"/>
      <c r="Y36" s="107"/>
    </row>
    <row r="37" spans="1:25" s="27" customFormat="1" ht="17.100000000000001" customHeight="1" x14ac:dyDescent="0.3">
      <c r="A37" s="56"/>
      <c r="B37" s="57"/>
      <c r="C37" s="58" t="s">
        <v>66</v>
      </c>
      <c r="D37" s="168"/>
      <c r="E37" s="60"/>
      <c r="F37" s="169"/>
      <c r="G37" s="91"/>
      <c r="H37" s="92"/>
      <c r="I37" s="101"/>
      <c r="J37" s="101"/>
      <c r="K37" s="4"/>
      <c r="L37" s="7"/>
      <c r="M37" s="5"/>
      <c r="N37" s="34"/>
      <c r="O37" s="6"/>
      <c r="P37" s="4"/>
      <c r="Q37" s="5"/>
      <c r="R37" s="5"/>
      <c r="S37" s="32"/>
      <c r="T37" s="4"/>
      <c r="U37" s="34"/>
      <c r="V37" s="5"/>
      <c r="W37" s="193"/>
      <c r="X37" s="184"/>
      <c r="Y37" s="11"/>
    </row>
    <row r="38" spans="1:25" s="27" customFormat="1" ht="17.100000000000001" customHeight="1" x14ac:dyDescent="0.3">
      <c r="A38" s="56"/>
      <c r="B38" s="57"/>
      <c r="C38" s="121"/>
      <c r="D38" s="131" t="s">
        <v>48</v>
      </c>
      <c r="E38" s="63"/>
      <c r="F38" s="63"/>
      <c r="G38" s="122"/>
      <c r="H38" s="123"/>
      <c r="I38" s="143" t="s">
        <v>49</v>
      </c>
      <c r="J38" s="143"/>
      <c r="K38" s="124"/>
      <c r="L38" s="125"/>
      <c r="M38" s="126"/>
      <c r="N38" s="208"/>
      <c r="O38" s="129"/>
      <c r="P38" s="8"/>
      <c r="Q38" s="126"/>
      <c r="R38" s="126"/>
      <c r="S38" s="129"/>
      <c r="T38" s="124"/>
      <c r="U38" s="127"/>
      <c r="V38" s="126"/>
      <c r="W38" s="197"/>
      <c r="X38" s="186"/>
      <c r="Y38" s="12"/>
    </row>
    <row r="39" spans="1:25" s="27" customFormat="1" ht="17.100000000000001" customHeight="1" x14ac:dyDescent="0.3">
      <c r="A39" s="56"/>
      <c r="B39" s="57"/>
      <c r="C39" s="61"/>
      <c r="D39" s="64" t="s">
        <v>50</v>
      </c>
      <c r="E39" s="63"/>
      <c r="F39" s="94"/>
      <c r="G39" s="95"/>
      <c r="H39" s="96"/>
      <c r="I39" s="97" t="s">
        <v>51</v>
      </c>
      <c r="J39" s="97"/>
      <c r="K39" s="8"/>
      <c r="L39" s="21"/>
      <c r="M39" s="9"/>
      <c r="N39" s="205"/>
      <c r="O39" s="36"/>
      <c r="P39" s="8"/>
      <c r="Q39" s="9"/>
      <c r="R39" s="9"/>
      <c r="S39" s="36"/>
      <c r="T39" s="8"/>
      <c r="U39" s="38"/>
      <c r="V39" s="9"/>
      <c r="W39" s="195"/>
      <c r="X39" s="182"/>
      <c r="Y39" s="12"/>
    </row>
    <row r="40" spans="1:25" s="27" customFormat="1" ht="17.100000000000001" customHeight="1" x14ac:dyDescent="0.3">
      <c r="A40" s="56"/>
      <c r="B40" s="57"/>
      <c r="C40" s="61"/>
      <c r="D40" s="62" t="s">
        <v>52</v>
      </c>
      <c r="E40" s="63"/>
      <c r="F40" s="94"/>
      <c r="G40" s="95"/>
      <c r="H40" s="96"/>
      <c r="I40" s="97" t="s">
        <v>49</v>
      </c>
      <c r="J40" s="97"/>
      <c r="K40" s="8"/>
      <c r="L40" s="21"/>
      <c r="M40" s="9"/>
      <c r="N40" s="205"/>
      <c r="O40" s="36"/>
      <c r="P40" s="8"/>
      <c r="Q40" s="9"/>
      <c r="R40" s="9"/>
      <c r="S40" s="36"/>
      <c r="T40" s="8"/>
      <c r="U40" s="38"/>
      <c r="V40" s="9"/>
      <c r="W40" s="195"/>
      <c r="X40" s="182"/>
      <c r="Y40" s="12"/>
    </row>
    <row r="41" spans="1:25" s="27" customFormat="1" ht="17.100000000000001" customHeight="1" x14ac:dyDescent="0.3">
      <c r="A41" s="51" t="s">
        <v>68</v>
      </c>
      <c r="B41" s="52" t="s">
        <v>100</v>
      </c>
      <c r="C41" s="53"/>
      <c r="D41" s="54"/>
      <c r="E41" s="55"/>
      <c r="F41" s="86"/>
      <c r="G41" s="87"/>
      <c r="H41" s="88"/>
      <c r="I41" s="89"/>
      <c r="J41" s="154"/>
      <c r="K41" s="28"/>
      <c r="L41" s="29"/>
      <c r="M41" s="29"/>
      <c r="N41" s="31"/>
      <c r="O41" s="30"/>
      <c r="P41" s="28"/>
      <c r="Q41" s="41"/>
      <c r="R41" s="42"/>
      <c r="S41" s="43"/>
      <c r="T41" s="28"/>
      <c r="U41" s="31"/>
      <c r="V41" s="41"/>
      <c r="W41" s="192"/>
      <c r="X41" s="181"/>
      <c r="Y41" s="17"/>
    </row>
    <row r="42" spans="1:25" s="27" customFormat="1" ht="17.100000000000001" customHeight="1" x14ac:dyDescent="0.3">
      <c r="A42" s="56"/>
      <c r="B42" s="57"/>
      <c r="C42" s="58" t="s">
        <v>101</v>
      </c>
      <c r="D42" s="59"/>
      <c r="E42" s="60"/>
      <c r="F42" s="90"/>
      <c r="G42" s="91"/>
      <c r="H42" s="92"/>
      <c r="I42" s="93"/>
      <c r="J42" s="101"/>
      <c r="K42" s="170"/>
      <c r="L42" s="171"/>
      <c r="M42" s="172"/>
      <c r="N42" s="173"/>
      <c r="O42" s="174"/>
      <c r="P42" s="170"/>
      <c r="Q42" s="172"/>
      <c r="R42" s="175"/>
      <c r="S42" s="176"/>
      <c r="T42" s="170"/>
      <c r="U42" s="173"/>
      <c r="V42" s="172"/>
      <c r="W42" s="199"/>
      <c r="X42" s="188"/>
      <c r="Y42" s="163"/>
    </row>
    <row r="43" spans="1:25" s="27" customFormat="1" ht="17.100000000000001" customHeight="1" x14ac:dyDescent="0.3">
      <c r="A43" s="56"/>
      <c r="B43" s="57"/>
      <c r="C43" s="61"/>
      <c r="D43" s="131" t="s">
        <v>69</v>
      </c>
      <c r="E43" s="63"/>
      <c r="F43" s="63"/>
      <c r="G43" s="122"/>
      <c r="H43" s="123"/>
      <c r="I43" s="143" t="s">
        <v>72</v>
      </c>
      <c r="J43" s="143"/>
      <c r="K43" s="8"/>
      <c r="L43" s="21"/>
      <c r="M43" s="9"/>
      <c r="N43" s="38"/>
      <c r="O43" s="211"/>
      <c r="P43" s="8"/>
      <c r="Q43" s="9"/>
      <c r="R43" s="9"/>
      <c r="S43" s="36"/>
      <c r="T43" s="8"/>
      <c r="U43" s="38"/>
      <c r="V43" s="9"/>
      <c r="W43" s="195"/>
      <c r="X43" s="182"/>
      <c r="Y43" s="22"/>
    </row>
    <row r="44" spans="1:25" s="27" customFormat="1" ht="17.100000000000001" customHeight="1" x14ac:dyDescent="0.3">
      <c r="A44" s="56"/>
      <c r="B44" s="57"/>
      <c r="C44" s="108"/>
      <c r="D44" s="131" t="s">
        <v>70</v>
      </c>
      <c r="E44" s="63"/>
      <c r="F44" s="94"/>
      <c r="G44" s="95"/>
      <c r="H44" s="150"/>
      <c r="I44" s="106" t="s">
        <v>72</v>
      </c>
      <c r="J44" s="143"/>
      <c r="K44" s="124"/>
      <c r="L44" s="125"/>
      <c r="M44" s="126"/>
      <c r="N44" s="127"/>
      <c r="O44" s="210"/>
      <c r="P44" s="124"/>
      <c r="Q44" s="126"/>
      <c r="R44" s="126"/>
      <c r="S44" s="129"/>
      <c r="T44" s="124"/>
      <c r="U44" s="127"/>
      <c r="V44" s="126"/>
      <c r="W44" s="197"/>
      <c r="X44" s="186"/>
      <c r="Y44" s="12"/>
    </row>
    <row r="45" spans="1:25" s="27" customFormat="1" ht="17.100000000000001" customHeight="1" x14ac:dyDescent="0.3">
      <c r="A45" s="56"/>
      <c r="B45" s="57"/>
      <c r="C45" s="108"/>
      <c r="D45" s="131" t="s">
        <v>71</v>
      </c>
      <c r="E45" s="82"/>
      <c r="F45" s="102"/>
      <c r="G45" s="95"/>
      <c r="H45" s="98"/>
      <c r="I45" s="99" t="s">
        <v>49</v>
      </c>
      <c r="J45" s="143"/>
      <c r="K45" s="137"/>
      <c r="L45" s="144"/>
      <c r="M45" s="138"/>
      <c r="N45" s="135"/>
      <c r="O45" s="212"/>
      <c r="P45" s="137"/>
      <c r="Q45" s="138"/>
      <c r="R45" s="139"/>
      <c r="S45" s="136"/>
      <c r="T45" s="137"/>
      <c r="U45" s="135"/>
      <c r="V45" s="138"/>
      <c r="W45" s="198"/>
      <c r="X45" s="187"/>
      <c r="Y45" s="107"/>
    </row>
    <row r="46" spans="1:25" s="27" customFormat="1" ht="17.100000000000001" customHeight="1" x14ac:dyDescent="0.3">
      <c r="A46" s="56"/>
      <c r="B46" s="57"/>
      <c r="C46" s="58" t="s">
        <v>73</v>
      </c>
      <c r="D46" s="177"/>
      <c r="E46" s="60"/>
      <c r="F46" s="169"/>
      <c r="G46" s="91"/>
      <c r="H46" s="92"/>
      <c r="I46" s="101"/>
      <c r="J46" s="101"/>
      <c r="K46" s="4"/>
      <c r="L46" s="7"/>
      <c r="M46" s="5"/>
      <c r="N46" s="34"/>
      <c r="O46" s="6"/>
      <c r="P46" s="4"/>
      <c r="Q46" s="5"/>
      <c r="R46" s="5"/>
      <c r="S46" s="32"/>
      <c r="T46" s="4"/>
      <c r="U46" s="34"/>
      <c r="V46" s="5"/>
      <c r="W46" s="193"/>
      <c r="X46" s="184"/>
      <c r="Y46" s="11"/>
    </row>
    <row r="47" spans="1:25" s="27" customFormat="1" ht="17.100000000000001" customHeight="1" x14ac:dyDescent="0.3">
      <c r="A47" s="56"/>
      <c r="B47" s="57"/>
      <c r="C47" s="61"/>
      <c r="D47" s="131" t="s">
        <v>74</v>
      </c>
      <c r="E47" s="63"/>
      <c r="F47" s="63"/>
      <c r="G47" s="122"/>
      <c r="H47" s="123"/>
      <c r="I47" s="143" t="s">
        <v>55</v>
      </c>
      <c r="J47" s="143"/>
      <c r="K47" s="124"/>
      <c r="L47" s="125"/>
      <c r="M47" s="126"/>
      <c r="N47" s="127"/>
      <c r="O47" s="128"/>
      <c r="P47" s="203"/>
      <c r="Q47" s="208"/>
      <c r="R47" s="126"/>
      <c r="S47" s="129"/>
      <c r="T47" s="124"/>
      <c r="U47" s="127"/>
      <c r="V47" s="126"/>
      <c r="W47" s="197"/>
      <c r="X47" s="186"/>
      <c r="Y47" s="12"/>
    </row>
    <row r="48" spans="1:25" s="27" customFormat="1" ht="17.100000000000001" customHeight="1" x14ac:dyDescent="0.3">
      <c r="A48" s="56"/>
      <c r="B48" s="57"/>
      <c r="C48" s="108"/>
      <c r="D48" s="131" t="s">
        <v>75</v>
      </c>
      <c r="E48" s="63"/>
      <c r="F48" s="94"/>
      <c r="G48" s="95"/>
      <c r="H48" s="150"/>
      <c r="I48" s="106" t="s">
        <v>78</v>
      </c>
      <c r="J48" s="143" t="s">
        <v>80</v>
      </c>
      <c r="K48" s="124"/>
      <c r="L48" s="125"/>
      <c r="M48" s="126"/>
      <c r="N48" s="127"/>
      <c r="O48" s="128"/>
      <c r="P48" s="206"/>
      <c r="Q48" s="208"/>
      <c r="R48" s="126"/>
      <c r="S48" s="129"/>
      <c r="T48" s="124"/>
      <c r="U48" s="127"/>
      <c r="V48" s="126"/>
      <c r="W48" s="197"/>
      <c r="X48" s="186"/>
      <c r="Y48" s="12"/>
    </row>
    <row r="49" spans="1:25" s="27" customFormat="1" ht="17.100000000000001" customHeight="1" x14ac:dyDescent="0.3">
      <c r="A49" s="56"/>
      <c r="B49" s="57"/>
      <c r="C49" s="108"/>
      <c r="D49" s="131" t="s">
        <v>76</v>
      </c>
      <c r="E49" s="82"/>
      <c r="F49" s="102"/>
      <c r="G49" s="95"/>
      <c r="H49" s="98"/>
      <c r="I49" s="99" t="s">
        <v>77</v>
      </c>
      <c r="J49" s="143" t="s">
        <v>81</v>
      </c>
      <c r="K49" s="137"/>
      <c r="L49" s="144"/>
      <c r="M49" s="138"/>
      <c r="N49" s="135"/>
      <c r="O49" s="145"/>
      <c r="P49" s="207"/>
      <c r="Q49" s="209"/>
      <c r="R49" s="139"/>
      <c r="S49" s="136"/>
      <c r="T49" s="137"/>
      <c r="U49" s="135"/>
      <c r="V49" s="138"/>
      <c r="W49" s="198"/>
      <c r="X49" s="187"/>
      <c r="Y49" s="107"/>
    </row>
    <row r="50" spans="1:25" s="27" customFormat="1" ht="17.100000000000001" customHeight="1" x14ac:dyDescent="0.3">
      <c r="A50" s="151"/>
      <c r="B50" s="57"/>
      <c r="C50" s="178" t="s">
        <v>102</v>
      </c>
      <c r="D50" s="177"/>
      <c r="E50" s="60"/>
      <c r="F50" s="169"/>
      <c r="G50" s="91"/>
      <c r="H50" s="92"/>
      <c r="I50" s="101"/>
      <c r="J50" s="101"/>
      <c r="K50" s="4"/>
      <c r="L50" s="7"/>
      <c r="M50" s="5"/>
      <c r="N50" s="34"/>
      <c r="O50" s="6"/>
      <c r="P50" s="4"/>
      <c r="Q50" s="5"/>
      <c r="R50" s="5"/>
      <c r="S50" s="32"/>
      <c r="T50" s="4"/>
      <c r="U50" s="34"/>
      <c r="V50" s="5"/>
      <c r="W50" s="193"/>
      <c r="X50" s="184"/>
      <c r="Y50" s="11"/>
    </row>
    <row r="51" spans="1:25" s="27" customFormat="1" ht="17.100000000000001" customHeight="1" x14ac:dyDescent="0.3">
      <c r="A51" s="151"/>
      <c r="B51" s="57"/>
      <c r="C51" s="61"/>
      <c r="D51" s="131" t="s">
        <v>69</v>
      </c>
      <c r="E51" s="63"/>
      <c r="F51" s="63"/>
      <c r="G51" s="122"/>
      <c r="H51" s="123"/>
      <c r="I51" s="143" t="s">
        <v>72</v>
      </c>
      <c r="J51" s="143"/>
      <c r="K51" s="124"/>
      <c r="L51" s="125"/>
      <c r="M51" s="126"/>
      <c r="N51" s="127"/>
      <c r="O51" s="128"/>
      <c r="P51" s="8"/>
      <c r="Q51" s="126"/>
      <c r="R51" s="208"/>
      <c r="S51" s="129"/>
      <c r="T51" s="124"/>
      <c r="U51" s="127"/>
      <c r="V51" s="126"/>
      <c r="W51" s="197"/>
      <c r="X51" s="186"/>
      <c r="Y51" s="12"/>
    </row>
    <row r="52" spans="1:25" s="27" customFormat="1" ht="17.100000000000001" customHeight="1" x14ac:dyDescent="0.3">
      <c r="A52" s="151"/>
      <c r="B52" s="57"/>
      <c r="C52" s="108"/>
      <c r="D52" s="131" t="s">
        <v>70</v>
      </c>
      <c r="E52" s="63"/>
      <c r="F52" s="94"/>
      <c r="G52" s="95"/>
      <c r="H52" s="149"/>
      <c r="I52" s="143" t="s">
        <v>72</v>
      </c>
      <c r="J52" s="143"/>
      <c r="K52" s="124"/>
      <c r="L52" s="125"/>
      <c r="M52" s="126"/>
      <c r="N52" s="127"/>
      <c r="O52" s="128"/>
      <c r="P52" s="124"/>
      <c r="Q52" s="126"/>
      <c r="R52" s="208"/>
      <c r="S52" s="129"/>
      <c r="T52" s="124"/>
      <c r="U52" s="127"/>
      <c r="V52" s="126"/>
      <c r="W52" s="197"/>
      <c r="X52" s="186"/>
      <c r="Y52" s="12"/>
    </row>
    <row r="53" spans="1:25" s="27" customFormat="1" ht="17.100000000000001" customHeight="1" x14ac:dyDescent="0.3">
      <c r="A53" s="151"/>
      <c r="B53" s="57"/>
      <c r="C53" s="108"/>
      <c r="D53" s="131" t="s">
        <v>71</v>
      </c>
      <c r="E53" s="63"/>
      <c r="F53" s="94"/>
      <c r="G53" s="95"/>
      <c r="H53" s="149"/>
      <c r="I53" s="143" t="s">
        <v>49</v>
      </c>
      <c r="J53" s="143"/>
      <c r="K53" s="137"/>
      <c r="L53" s="144"/>
      <c r="M53" s="138"/>
      <c r="N53" s="135"/>
      <c r="O53" s="145"/>
      <c r="P53" s="137"/>
      <c r="Q53" s="138"/>
      <c r="R53" s="213"/>
      <c r="S53" s="136"/>
      <c r="T53" s="137"/>
      <c r="U53" s="135"/>
      <c r="V53" s="138"/>
      <c r="W53" s="198"/>
      <c r="X53" s="187"/>
      <c r="Y53" s="107"/>
    </row>
    <row r="54" spans="1:25" s="27" customFormat="1" ht="17.100000000000001" customHeight="1" x14ac:dyDescent="0.3">
      <c r="A54" s="151"/>
      <c r="B54" s="57"/>
      <c r="C54" s="178" t="s">
        <v>79</v>
      </c>
      <c r="D54" s="177"/>
      <c r="E54" s="60"/>
      <c r="F54" s="169"/>
      <c r="G54" s="91"/>
      <c r="H54" s="92"/>
      <c r="I54" s="101"/>
      <c r="J54" s="101"/>
      <c r="K54" s="4"/>
      <c r="L54" s="7"/>
      <c r="M54" s="5"/>
      <c r="N54" s="34"/>
      <c r="O54" s="6"/>
      <c r="P54" s="4"/>
      <c r="Q54" s="5"/>
      <c r="R54" s="5"/>
      <c r="S54" s="32"/>
      <c r="T54" s="4"/>
      <c r="U54" s="34"/>
      <c r="V54" s="5"/>
      <c r="W54" s="193"/>
      <c r="X54" s="184"/>
      <c r="Y54" s="11"/>
    </row>
    <row r="55" spans="1:25" s="27" customFormat="1" ht="17.100000000000001" customHeight="1" x14ac:dyDescent="0.3">
      <c r="A55" s="151"/>
      <c r="B55" s="57"/>
      <c r="C55" s="61"/>
      <c r="D55" s="131" t="s">
        <v>74</v>
      </c>
      <c r="E55" s="63"/>
      <c r="F55" s="63"/>
      <c r="G55" s="122"/>
      <c r="H55" s="123"/>
      <c r="I55" s="143" t="s">
        <v>55</v>
      </c>
      <c r="J55" s="143"/>
      <c r="K55" s="124"/>
      <c r="L55" s="125"/>
      <c r="M55" s="126"/>
      <c r="N55" s="127"/>
      <c r="O55" s="128"/>
      <c r="P55" s="8"/>
      <c r="Q55" s="126"/>
      <c r="R55" s="126"/>
      <c r="S55" s="210"/>
      <c r="T55" s="124"/>
      <c r="U55" s="127"/>
      <c r="V55" s="126"/>
      <c r="W55" s="197"/>
      <c r="X55" s="186"/>
      <c r="Y55" s="12"/>
    </row>
    <row r="56" spans="1:25" s="27" customFormat="1" ht="17.100000000000001" customHeight="1" x14ac:dyDescent="0.3">
      <c r="A56" s="151"/>
      <c r="B56" s="57"/>
      <c r="C56" s="108"/>
      <c r="D56" s="131" t="s">
        <v>75</v>
      </c>
      <c r="E56" s="63"/>
      <c r="F56" s="94"/>
      <c r="G56" s="95"/>
      <c r="H56" s="150"/>
      <c r="I56" s="106" t="s">
        <v>78</v>
      </c>
      <c r="J56" s="143" t="s">
        <v>80</v>
      </c>
      <c r="K56" s="124"/>
      <c r="L56" s="125"/>
      <c r="M56" s="126"/>
      <c r="N56" s="127"/>
      <c r="O56" s="128"/>
      <c r="P56" s="124"/>
      <c r="Q56" s="126"/>
      <c r="R56" s="126"/>
      <c r="S56" s="210"/>
      <c r="T56" s="124"/>
      <c r="U56" s="127"/>
      <c r="V56" s="126"/>
      <c r="W56" s="197"/>
      <c r="X56" s="186"/>
      <c r="Y56" s="12"/>
    </row>
    <row r="57" spans="1:25" s="27" customFormat="1" ht="17.100000000000001" customHeight="1" x14ac:dyDescent="0.3">
      <c r="A57" s="151"/>
      <c r="B57" s="57"/>
      <c r="C57" s="108"/>
      <c r="D57" s="131" t="s">
        <v>76</v>
      </c>
      <c r="E57" s="82"/>
      <c r="F57" s="102"/>
      <c r="G57" s="95"/>
      <c r="H57" s="98"/>
      <c r="I57" s="99" t="s">
        <v>77</v>
      </c>
      <c r="J57" s="143" t="s">
        <v>81</v>
      </c>
      <c r="K57" s="137"/>
      <c r="L57" s="144"/>
      <c r="M57" s="138"/>
      <c r="N57" s="135"/>
      <c r="O57" s="145"/>
      <c r="P57" s="137"/>
      <c r="Q57" s="138"/>
      <c r="R57" s="139"/>
      <c r="S57" s="212"/>
      <c r="T57" s="137"/>
      <c r="U57" s="135"/>
      <c r="V57" s="138"/>
      <c r="W57" s="198"/>
      <c r="X57" s="187"/>
      <c r="Y57" s="107"/>
    </row>
    <row r="58" spans="1:25" s="27" customFormat="1" ht="17.100000000000001" customHeight="1" x14ac:dyDescent="0.3">
      <c r="B58" s="57"/>
      <c r="C58" s="178" t="s">
        <v>103</v>
      </c>
      <c r="D58" s="177"/>
      <c r="E58" s="60"/>
      <c r="F58" s="169"/>
      <c r="G58" s="91"/>
      <c r="H58" s="92"/>
      <c r="I58" s="101"/>
      <c r="J58" s="101"/>
      <c r="K58" s="4"/>
      <c r="L58" s="7"/>
      <c r="M58" s="5"/>
      <c r="N58" s="34"/>
      <c r="O58" s="6"/>
      <c r="P58" s="4"/>
      <c r="Q58" s="5"/>
      <c r="R58" s="5"/>
      <c r="S58" s="32"/>
      <c r="T58" s="4"/>
      <c r="U58" s="34"/>
      <c r="V58" s="5"/>
      <c r="W58" s="193"/>
      <c r="X58" s="184"/>
      <c r="Y58" s="11"/>
    </row>
    <row r="59" spans="1:25" s="27" customFormat="1" ht="17.100000000000001" customHeight="1" x14ac:dyDescent="0.3">
      <c r="A59" s="56"/>
      <c r="B59" s="57"/>
      <c r="C59" s="61"/>
      <c r="D59" s="131" t="s">
        <v>69</v>
      </c>
      <c r="E59" s="63"/>
      <c r="F59" s="63"/>
      <c r="G59" s="122"/>
      <c r="H59" s="123"/>
      <c r="I59" s="143" t="s">
        <v>72</v>
      </c>
      <c r="J59" s="143"/>
      <c r="K59" s="124"/>
      <c r="L59" s="125"/>
      <c r="M59" s="126"/>
      <c r="N59" s="127"/>
      <c r="O59" s="128"/>
      <c r="P59" s="8"/>
      <c r="Q59" s="126"/>
      <c r="R59" s="126"/>
      <c r="S59" s="129"/>
      <c r="T59" s="206"/>
      <c r="U59" s="127"/>
      <c r="V59" s="126"/>
      <c r="W59" s="197"/>
      <c r="X59" s="186"/>
      <c r="Y59" s="12"/>
    </row>
    <row r="60" spans="1:25" s="27" customFormat="1" ht="17.100000000000001" customHeight="1" x14ac:dyDescent="0.3">
      <c r="A60" s="56"/>
      <c r="B60" s="57"/>
      <c r="C60" s="108"/>
      <c r="D60" s="131" t="s">
        <v>70</v>
      </c>
      <c r="E60" s="63"/>
      <c r="F60" s="94"/>
      <c r="G60" s="95"/>
      <c r="H60" s="149"/>
      <c r="I60" s="143" t="s">
        <v>72</v>
      </c>
      <c r="J60" s="143"/>
      <c r="K60" s="124"/>
      <c r="L60" s="125"/>
      <c r="M60" s="126"/>
      <c r="N60" s="127"/>
      <c r="O60" s="128"/>
      <c r="P60" s="124"/>
      <c r="Q60" s="126"/>
      <c r="R60" s="126"/>
      <c r="S60" s="129"/>
      <c r="T60" s="206"/>
      <c r="U60" s="127"/>
      <c r="V60" s="126"/>
      <c r="W60" s="197"/>
      <c r="X60" s="186"/>
      <c r="Y60" s="12"/>
    </row>
    <row r="61" spans="1:25" s="27" customFormat="1" ht="17.100000000000001" customHeight="1" x14ac:dyDescent="0.3">
      <c r="A61" s="56"/>
      <c r="B61" s="57"/>
      <c r="C61" s="108"/>
      <c r="D61" s="131" t="s">
        <v>71</v>
      </c>
      <c r="E61" s="63"/>
      <c r="F61" s="94"/>
      <c r="G61" s="95"/>
      <c r="H61" s="149"/>
      <c r="I61" s="143" t="s">
        <v>49</v>
      </c>
      <c r="J61" s="143"/>
      <c r="K61" s="124"/>
      <c r="L61" s="125"/>
      <c r="M61" s="126"/>
      <c r="N61" s="127"/>
      <c r="O61" s="128"/>
      <c r="P61" s="124"/>
      <c r="Q61" s="126"/>
      <c r="R61" s="126"/>
      <c r="S61" s="129"/>
      <c r="T61" s="206"/>
      <c r="U61" s="127"/>
      <c r="V61" s="126"/>
      <c r="W61" s="197"/>
      <c r="X61" s="186"/>
      <c r="Y61" s="12"/>
    </row>
    <row r="62" spans="1:25" s="27" customFormat="1" ht="17.100000000000001" customHeight="1" x14ac:dyDescent="0.3">
      <c r="A62" s="56"/>
      <c r="B62" s="57"/>
      <c r="C62" s="178" t="s">
        <v>104</v>
      </c>
      <c r="D62" s="177"/>
      <c r="E62" s="60"/>
      <c r="F62" s="169"/>
      <c r="G62" s="91"/>
      <c r="H62" s="92"/>
      <c r="I62" s="101"/>
      <c r="J62" s="101"/>
      <c r="K62" s="4"/>
      <c r="L62" s="7"/>
      <c r="M62" s="5"/>
      <c r="N62" s="34"/>
      <c r="O62" s="6"/>
      <c r="P62" s="4"/>
      <c r="Q62" s="5"/>
      <c r="R62" s="5"/>
      <c r="S62" s="32"/>
      <c r="T62" s="4"/>
      <c r="U62" s="34"/>
      <c r="V62" s="5"/>
      <c r="W62" s="193"/>
      <c r="X62" s="184"/>
      <c r="Y62" s="11"/>
    </row>
    <row r="63" spans="1:25" s="27" customFormat="1" ht="17.100000000000001" customHeight="1" x14ac:dyDescent="0.3">
      <c r="A63" s="56"/>
      <c r="B63" s="57"/>
      <c r="C63" s="61"/>
      <c r="D63" s="131" t="s">
        <v>74</v>
      </c>
      <c r="E63" s="63"/>
      <c r="F63" s="63"/>
      <c r="G63" s="122"/>
      <c r="H63" s="123"/>
      <c r="I63" s="143" t="s">
        <v>55</v>
      </c>
      <c r="J63" s="143"/>
      <c r="K63" s="124"/>
      <c r="L63" s="125"/>
      <c r="M63" s="126"/>
      <c r="N63" s="127"/>
      <c r="O63" s="128"/>
      <c r="P63" s="8"/>
      <c r="Q63" s="126"/>
      <c r="R63" s="126"/>
      <c r="S63" s="129"/>
      <c r="T63" s="124"/>
      <c r="U63" s="208"/>
      <c r="V63" s="126"/>
      <c r="W63" s="197"/>
      <c r="X63" s="186"/>
      <c r="Y63" s="12"/>
    </row>
    <row r="64" spans="1:25" s="27" customFormat="1" ht="17.100000000000001" customHeight="1" x14ac:dyDescent="0.3">
      <c r="A64" s="56"/>
      <c r="B64" s="146"/>
      <c r="C64" s="108"/>
      <c r="D64" s="131" t="s">
        <v>75</v>
      </c>
      <c r="E64" s="147"/>
      <c r="F64" s="148"/>
      <c r="G64" s="95"/>
      <c r="H64" s="150"/>
      <c r="I64" s="106" t="s">
        <v>78</v>
      </c>
      <c r="J64" s="143" t="s">
        <v>80</v>
      </c>
      <c r="K64" s="137"/>
      <c r="L64" s="144"/>
      <c r="M64" s="138"/>
      <c r="N64" s="135"/>
      <c r="O64" s="145"/>
      <c r="P64" s="137"/>
      <c r="Q64" s="138"/>
      <c r="R64" s="138"/>
      <c r="S64" s="136"/>
      <c r="T64" s="137"/>
      <c r="U64" s="209"/>
      <c r="V64" s="138"/>
      <c r="W64" s="198"/>
      <c r="X64" s="187"/>
      <c r="Y64" s="107"/>
    </row>
    <row r="65" spans="1:25" s="27" customFormat="1" ht="17.100000000000001" customHeight="1" x14ac:dyDescent="0.3">
      <c r="A65" s="80"/>
      <c r="B65" s="81"/>
      <c r="C65" s="108"/>
      <c r="D65" s="131" t="s">
        <v>76</v>
      </c>
      <c r="E65" s="82"/>
      <c r="F65" s="102"/>
      <c r="G65" s="95"/>
      <c r="H65" s="98"/>
      <c r="I65" s="99" t="s">
        <v>77</v>
      </c>
      <c r="J65" s="143" t="s">
        <v>81</v>
      </c>
      <c r="K65" s="18"/>
      <c r="L65" s="26"/>
      <c r="M65" s="19"/>
      <c r="N65" s="40"/>
      <c r="O65" s="20"/>
      <c r="P65" s="18"/>
      <c r="Q65" s="19"/>
      <c r="R65" s="19"/>
      <c r="S65" s="39"/>
      <c r="T65" s="18"/>
      <c r="U65" s="214"/>
      <c r="V65" s="19"/>
      <c r="W65" s="200"/>
      <c r="X65" s="189"/>
      <c r="Y65" s="110"/>
    </row>
    <row r="66" spans="1:25" s="27" customFormat="1" ht="17.100000000000001" customHeight="1" x14ac:dyDescent="0.3">
      <c r="A66" s="51" t="s">
        <v>82</v>
      </c>
      <c r="B66" s="52" t="s">
        <v>83</v>
      </c>
      <c r="C66" s="53"/>
      <c r="D66" s="54"/>
      <c r="E66" s="55"/>
      <c r="F66" s="86"/>
      <c r="G66" s="87"/>
      <c r="H66" s="88"/>
      <c r="I66" s="89"/>
      <c r="J66" s="154"/>
      <c r="K66" s="28"/>
      <c r="L66" s="29"/>
      <c r="M66" s="29"/>
      <c r="N66" s="31"/>
      <c r="O66" s="30"/>
      <c r="P66" s="28"/>
      <c r="Q66" s="41"/>
      <c r="R66" s="42"/>
      <c r="S66" s="43"/>
      <c r="T66" s="28"/>
      <c r="U66" s="31"/>
      <c r="V66" s="41"/>
      <c r="W66" s="192"/>
      <c r="X66" s="181"/>
      <c r="Y66" s="17"/>
    </row>
    <row r="67" spans="1:25" s="27" customFormat="1" ht="17.100000000000001" customHeight="1" x14ac:dyDescent="0.3">
      <c r="A67" s="56"/>
      <c r="B67" s="57"/>
      <c r="C67" s="58" t="s">
        <v>84</v>
      </c>
      <c r="D67" s="130"/>
      <c r="E67" s="60"/>
      <c r="F67" s="90"/>
      <c r="G67" s="91"/>
      <c r="H67" s="92"/>
      <c r="I67" s="101"/>
      <c r="J67" s="101"/>
      <c r="K67" s="4"/>
      <c r="L67" s="7"/>
      <c r="M67" s="5"/>
      <c r="N67" s="34"/>
      <c r="O67" s="6"/>
      <c r="P67" s="4"/>
      <c r="Q67" s="5"/>
      <c r="R67" s="5"/>
      <c r="S67" s="32"/>
      <c r="T67" s="4"/>
      <c r="U67" s="34"/>
      <c r="V67" s="5"/>
      <c r="W67" s="193"/>
      <c r="X67" s="184"/>
      <c r="Y67" s="11"/>
    </row>
    <row r="68" spans="1:25" s="27" customFormat="1" ht="17.100000000000001" customHeight="1" x14ac:dyDescent="0.3">
      <c r="A68" s="56"/>
      <c r="B68" s="57"/>
      <c r="C68" s="121"/>
      <c r="D68" s="131" t="s">
        <v>85</v>
      </c>
      <c r="E68" s="63"/>
      <c r="F68" s="63"/>
      <c r="G68" s="122"/>
      <c r="H68" s="123"/>
      <c r="I68" s="143" t="s">
        <v>72</v>
      </c>
      <c r="J68" s="143"/>
      <c r="K68" s="124"/>
      <c r="L68" s="125"/>
      <c r="M68" s="126"/>
      <c r="N68" s="127"/>
      <c r="O68" s="128"/>
      <c r="P68" s="8"/>
      <c r="Q68" s="126"/>
      <c r="R68" s="126"/>
      <c r="S68" s="129"/>
      <c r="T68" s="124"/>
      <c r="U68" s="208"/>
      <c r="V68" s="126"/>
      <c r="W68" s="197"/>
      <c r="X68" s="186"/>
      <c r="Y68" s="12"/>
    </row>
    <row r="69" spans="1:25" s="27" customFormat="1" ht="17.100000000000001" customHeight="1" x14ac:dyDescent="0.3">
      <c r="A69" s="56"/>
      <c r="B69" s="57"/>
      <c r="C69" s="121"/>
      <c r="D69" s="131" t="s">
        <v>86</v>
      </c>
      <c r="E69" s="147"/>
      <c r="F69" s="148"/>
      <c r="G69" s="122"/>
      <c r="H69" s="123"/>
      <c r="I69" s="143" t="s">
        <v>72</v>
      </c>
      <c r="J69" s="143"/>
      <c r="K69" s="124"/>
      <c r="L69" s="125"/>
      <c r="M69" s="126"/>
      <c r="N69" s="127"/>
      <c r="O69" s="128"/>
      <c r="P69" s="124"/>
      <c r="Q69" s="126"/>
      <c r="R69" s="126"/>
      <c r="S69" s="129"/>
      <c r="T69" s="124"/>
      <c r="U69" s="208"/>
      <c r="V69" s="126"/>
      <c r="W69" s="197"/>
      <c r="X69" s="186"/>
      <c r="Y69" s="12"/>
    </row>
    <row r="70" spans="1:25" s="27" customFormat="1" ht="17.100000000000001" customHeight="1" x14ac:dyDescent="0.3">
      <c r="A70" s="56"/>
      <c r="B70" s="57"/>
      <c r="C70" s="121"/>
      <c r="D70" s="131" t="s">
        <v>71</v>
      </c>
      <c r="E70" s="147"/>
      <c r="F70" s="148"/>
      <c r="G70" s="122"/>
      <c r="H70" s="123"/>
      <c r="I70" s="97" t="s">
        <v>49</v>
      </c>
      <c r="J70" s="143"/>
      <c r="K70" s="124"/>
      <c r="L70" s="125"/>
      <c r="M70" s="126"/>
      <c r="N70" s="127"/>
      <c r="O70" s="128"/>
      <c r="P70" s="124"/>
      <c r="Q70" s="126"/>
      <c r="R70" s="126"/>
      <c r="S70" s="129"/>
      <c r="T70" s="124"/>
      <c r="U70" s="208"/>
      <c r="V70" s="126"/>
      <c r="W70" s="197"/>
      <c r="X70" s="186"/>
      <c r="Y70" s="12"/>
    </row>
    <row r="71" spans="1:25" s="27" customFormat="1" ht="17.100000000000001" customHeight="1" x14ac:dyDescent="0.3">
      <c r="A71" s="56"/>
      <c r="B71" s="57"/>
      <c r="C71" s="121"/>
      <c r="D71" s="164" t="s">
        <v>52</v>
      </c>
      <c r="E71" s="165"/>
      <c r="F71" s="166"/>
      <c r="G71" s="167"/>
      <c r="H71" s="150"/>
      <c r="I71" s="114" t="s">
        <v>49</v>
      </c>
      <c r="J71" s="106"/>
      <c r="K71" s="137"/>
      <c r="L71" s="144"/>
      <c r="M71" s="138"/>
      <c r="N71" s="135"/>
      <c r="O71" s="145"/>
      <c r="P71" s="137"/>
      <c r="Q71" s="138"/>
      <c r="R71" s="138"/>
      <c r="S71" s="136"/>
      <c r="T71" s="137"/>
      <c r="U71" s="209"/>
      <c r="V71" s="138"/>
      <c r="W71" s="198"/>
      <c r="X71" s="187"/>
      <c r="Y71" s="107"/>
    </row>
    <row r="72" spans="1:25" s="27" customFormat="1" ht="17.100000000000001" customHeight="1" x14ac:dyDescent="0.3">
      <c r="A72" s="56"/>
      <c r="B72" s="57"/>
      <c r="C72" s="58" t="s">
        <v>87</v>
      </c>
      <c r="D72" s="168"/>
      <c r="E72" s="60"/>
      <c r="F72" s="169"/>
      <c r="G72" s="91"/>
      <c r="H72" s="92"/>
      <c r="I72" s="101"/>
      <c r="J72" s="101"/>
      <c r="K72" s="4"/>
      <c r="L72" s="7"/>
      <c r="M72" s="5"/>
      <c r="N72" s="34"/>
      <c r="O72" s="6"/>
      <c r="P72" s="4"/>
      <c r="Q72" s="5"/>
      <c r="R72" s="5"/>
      <c r="S72" s="32"/>
      <c r="T72" s="4"/>
      <c r="U72" s="34"/>
      <c r="V72" s="5"/>
      <c r="W72" s="193"/>
      <c r="X72" s="184"/>
      <c r="Y72" s="11"/>
    </row>
    <row r="73" spans="1:25" s="27" customFormat="1" ht="17.100000000000001" customHeight="1" x14ac:dyDescent="0.3">
      <c r="A73" s="56"/>
      <c r="B73" s="57"/>
      <c r="C73" s="121"/>
      <c r="D73" s="131" t="s">
        <v>85</v>
      </c>
      <c r="E73" s="63"/>
      <c r="F73" s="63"/>
      <c r="G73" s="122"/>
      <c r="H73" s="123"/>
      <c r="I73" s="143" t="s">
        <v>72</v>
      </c>
      <c r="J73" s="143"/>
      <c r="K73" s="124"/>
      <c r="L73" s="125"/>
      <c r="M73" s="126"/>
      <c r="N73" s="127"/>
      <c r="O73" s="128"/>
      <c r="P73" s="8"/>
      <c r="Q73" s="126"/>
      <c r="R73" s="126"/>
      <c r="S73" s="129"/>
      <c r="T73" s="124"/>
      <c r="U73" s="208"/>
      <c r="V73" s="126"/>
      <c r="W73" s="197"/>
      <c r="X73" s="186"/>
      <c r="Y73" s="12"/>
    </row>
    <row r="74" spans="1:25" s="27" customFormat="1" ht="17.100000000000001" customHeight="1" x14ac:dyDescent="0.3">
      <c r="A74" s="56"/>
      <c r="B74" s="57"/>
      <c r="C74" s="61"/>
      <c r="D74" s="62" t="s">
        <v>86</v>
      </c>
      <c r="E74" s="147"/>
      <c r="F74" s="148"/>
      <c r="G74" s="122"/>
      <c r="H74" s="123"/>
      <c r="I74" s="97" t="s">
        <v>72</v>
      </c>
      <c r="J74" s="143"/>
      <c r="K74" s="124"/>
      <c r="L74" s="125"/>
      <c r="M74" s="126"/>
      <c r="N74" s="127"/>
      <c r="O74" s="128"/>
      <c r="P74" s="124"/>
      <c r="Q74" s="126"/>
      <c r="R74" s="126"/>
      <c r="S74" s="129"/>
      <c r="T74" s="124"/>
      <c r="U74" s="208"/>
      <c r="V74" s="126"/>
      <c r="W74" s="197"/>
      <c r="X74" s="186"/>
      <c r="Y74" s="12"/>
    </row>
    <row r="75" spans="1:25" s="27" customFormat="1" ht="17.100000000000001" customHeight="1" x14ac:dyDescent="0.3">
      <c r="A75" s="56"/>
      <c r="B75" s="57"/>
      <c r="C75" s="61"/>
      <c r="D75" s="62" t="s">
        <v>71</v>
      </c>
      <c r="E75" s="147"/>
      <c r="F75" s="148"/>
      <c r="G75" s="122"/>
      <c r="H75" s="123"/>
      <c r="I75" s="97" t="s">
        <v>49</v>
      </c>
      <c r="J75" s="143"/>
      <c r="K75" s="124"/>
      <c r="L75" s="125"/>
      <c r="M75" s="126"/>
      <c r="N75" s="127"/>
      <c r="O75" s="128"/>
      <c r="P75" s="124"/>
      <c r="Q75" s="126"/>
      <c r="R75" s="126"/>
      <c r="S75" s="129"/>
      <c r="T75" s="124"/>
      <c r="U75" s="208"/>
      <c r="V75" s="126"/>
      <c r="W75" s="197"/>
      <c r="X75" s="186"/>
      <c r="Y75" s="12"/>
    </row>
    <row r="76" spans="1:25" s="27" customFormat="1" ht="17.100000000000001" customHeight="1" x14ac:dyDescent="0.3">
      <c r="A76" s="56"/>
      <c r="B76" s="57"/>
      <c r="C76" s="61"/>
      <c r="D76" s="132" t="s">
        <v>52</v>
      </c>
      <c r="E76" s="165"/>
      <c r="F76" s="166"/>
      <c r="G76" s="167"/>
      <c r="H76" s="150"/>
      <c r="I76" s="114" t="s">
        <v>49</v>
      </c>
      <c r="J76" s="106"/>
      <c r="K76" s="137"/>
      <c r="L76" s="144"/>
      <c r="M76" s="138"/>
      <c r="N76" s="135"/>
      <c r="O76" s="145"/>
      <c r="P76" s="137"/>
      <c r="Q76" s="138"/>
      <c r="R76" s="138"/>
      <c r="S76" s="136"/>
      <c r="T76" s="137"/>
      <c r="U76" s="209"/>
      <c r="V76" s="138"/>
      <c r="W76" s="198"/>
      <c r="X76" s="187"/>
      <c r="Y76" s="107"/>
    </row>
    <row r="77" spans="1:25" s="27" customFormat="1" ht="17.100000000000001" customHeight="1" x14ac:dyDescent="0.3">
      <c r="A77" s="56"/>
      <c r="B77" s="57"/>
      <c r="C77" s="58" t="s">
        <v>88</v>
      </c>
      <c r="D77" s="168"/>
      <c r="E77" s="60"/>
      <c r="F77" s="169"/>
      <c r="G77" s="91"/>
      <c r="H77" s="92"/>
      <c r="I77" s="101"/>
      <c r="J77" s="101"/>
      <c r="K77" s="4"/>
      <c r="L77" s="7"/>
      <c r="M77" s="5"/>
      <c r="N77" s="34"/>
      <c r="O77" s="6"/>
      <c r="P77" s="4"/>
      <c r="Q77" s="5"/>
      <c r="R77" s="5"/>
      <c r="S77" s="32"/>
      <c r="T77" s="4"/>
      <c r="U77" s="34"/>
      <c r="V77" s="5"/>
      <c r="W77" s="193"/>
      <c r="X77" s="184"/>
      <c r="Y77" s="11"/>
    </row>
    <row r="78" spans="1:25" s="27" customFormat="1" ht="17.100000000000001" customHeight="1" x14ac:dyDescent="0.3">
      <c r="A78" s="56"/>
      <c r="B78" s="57"/>
      <c r="C78" s="121"/>
      <c r="D78" s="131" t="s">
        <v>85</v>
      </c>
      <c r="E78" s="63"/>
      <c r="F78" s="63"/>
      <c r="G78" s="122"/>
      <c r="H78" s="123"/>
      <c r="I78" s="143" t="s">
        <v>72</v>
      </c>
      <c r="J78" s="143"/>
      <c r="K78" s="124"/>
      <c r="L78" s="125"/>
      <c r="M78" s="126"/>
      <c r="N78" s="127"/>
      <c r="O78" s="128"/>
      <c r="P78" s="8"/>
      <c r="Q78" s="126"/>
      <c r="R78" s="126"/>
      <c r="S78" s="129"/>
      <c r="T78" s="124"/>
      <c r="U78" s="127"/>
      <c r="V78" s="208"/>
      <c r="W78" s="197"/>
      <c r="X78" s="186"/>
      <c r="Y78" s="12"/>
    </row>
    <row r="79" spans="1:25" s="27" customFormat="1" ht="17.100000000000001" customHeight="1" x14ac:dyDescent="0.3">
      <c r="A79" s="56"/>
      <c r="B79" s="57"/>
      <c r="C79" s="121"/>
      <c r="D79" s="131" t="s">
        <v>86</v>
      </c>
      <c r="E79" s="63"/>
      <c r="F79" s="156"/>
      <c r="G79" s="122"/>
      <c r="H79" s="123"/>
      <c r="I79" s="143" t="s">
        <v>72</v>
      </c>
      <c r="J79" s="143"/>
      <c r="K79" s="124"/>
      <c r="L79" s="125"/>
      <c r="M79" s="126"/>
      <c r="N79" s="127"/>
      <c r="O79" s="128"/>
      <c r="P79" s="8"/>
      <c r="Q79" s="126"/>
      <c r="R79" s="126"/>
      <c r="S79" s="129"/>
      <c r="T79" s="124"/>
      <c r="U79" s="127"/>
      <c r="V79" s="208"/>
      <c r="W79" s="197"/>
      <c r="X79" s="186"/>
      <c r="Y79" s="12"/>
    </row>
    <row r="80" spans="1:25" s="27" customFormat="1" ht="17.100000000000001" customHeight="1" x14ac:dyDescent="0.3">
      <c r="A80" s="56"/>
      <c r="B80" s="57"/>
      <c r="C80" s="61"/>
      <c r="D80" s="62" t="s">
        <v>89</v>
      </c>
      <c r="E80" s="63"/>
      <c r="F80" s="94"/>
      <c r="G80" s="95"/>
      <c r="H80" s="96"/>
      <c r="I80" s="97" t="s">
        <v>49</v>
      </c>
      <c r="J80" s="97"/>
      <c r="K80" s="8"/>
      <c r="L80" s="21"/>
      <c r="M80" s="9"/>
      <c r="N80" s="38"/>
      <c r="O80" s="10"/>
      <c r="P80" s="8"/>
      <c r="Q80" s="9"/>
      <c r="R80" s="9"/>
      <c r="S80" s="36"/>
      <c r="T80" s="8"/>
      <c r="U80" s="38"/>
      <c r="V80" s="205"/>
      <c r="W80" s="215"/>
      <c r="X80" s="182"/>
      <c r="Y80" s="12"/>
    </row>
    <row r="81" spans="1:25" s="27" customFormat="1" ht="17.100000000000001" customHeight="1" x14ac:dyDescent="0.3">
      <c r="A81" s="56"/>
      <c r="B81" s="57"/>
      <c r="C81" s="61"/>
      <c r="D81" s="62" t="s">
        <v>52</v>
      </c>
      <c r="E81" s="63"/>
      <c r="F81" s="94"/>
      <c r="G81" s="95"/>
      <c r="H81" s="96"/>
      <c r="I81" s="97" t="s">
        <v>49</v>
      </c>
      <c r="J81" s="97"/>
      <c r="K81" s="8"/>
      <c r="L81" s="21"/>
      <c r="M81" s="9"/>
      <c r="N81" s="38"/>
      <c r="O81" s="10"/>
      <c r="P81" s="8"/>
      <c r="Q81" s="9"/>
      <c r="R81" s="9"/>
      <c r="S81" s="36"/>
      <c r="T81" s="8"/>
      <c r="U81" s="38"/>
      <c r="V81" s="205"/>
      <c r="W81" s="215"/>
      <c r="X81" s="182"/>
      <c r="Y81" s="12"/>
    </row>
    <row r="82" spans="1:25" x14ac:dyDescent="0.3">
      <c r="A82" s="51" t="s">
        <v>90</v>
      </c>
      <c r="B82" s="52" t="s">
        <v>105</v>
      </c>
      <c r="C82" s="53"/>
      <c r="D82" s="54"/>
      <c r="E82" s="55"/>
      <c r="F82" s="86"/>
      <c r="G82" s="87"/>
      <c r="H82" s="88"/>
      <c r="I82" s="154"/>
      <c r="J82" s="154"/>
      <c r="K82" s="13"/>
      <c r="L82" s="14"/>
      <c r="M82" s="14"/>
      <c r="N82" s="14"/>
      <c r="O82" s="15"/>
      <c r="P82" s="13"/>
      <c r="Q82" s="14"/>
      <c r="R82" s="16"/>
      <c r="S82" s="15"/>
      <c r="T82" s="13"/>
      <c r="U82" s="14"/>
      <c r="V82" s="14"/>
      <c r="W82" s="196"/>
      <c r="X82" s="185"/>
      <c r="Y82" s="17"/>
    </row>
    <row r="83" spans="1:25" x14ac:dyDescent="0.3">
      <c r="A83" s="56"/>
      <c r="B83" s="57"/>
      <c r="C83" s="58" t="s">
        <v>106</v>
      </c>
      <c r="D83" s="59"/>
      <c r="E83" s="60"/>
      <c r="F83" s="90"/>
      <c r="G83" s="91"/>
      <c r="H83" s="92"/>
      <c r="I83" s="101"/>
      <c r="J83" s="101"/>
      <c r="K83" s="4"/>
      <c r="L83" s="7"/>
      <c r="M83" s="5"/>
      <c r="N83" s="34"/>
      <c r="O83" s="6"/>
      <c r="P83" s="4"/>
      <c r="Q83" s="5"/>
      <c r="R83" s="5"/>
      <c r="S83" s="32"/>
      <c r="T83" s="4"/>
      <c r="U83" s="34"/>
      <c r="V83" s="5"/>
      <c r="W83" s="193"/>
      <c r="X83" s="184"/>
      <c r="Y83" s="11"/>
    </row>
    <row r="84" spans="1:25" x14ac:dyDescent="0.3">
      <c r="A84" s="56"/>
      <c r="B84" s="57"/>
      <c r="C84" s="61"/>
      <c r="D84" s="62" t="s">
        <v>92</v>
      </c>
      <c r="E84" s="63"/>
      <c r="F84" s="94"/>
      <c r="G84" s="95"/>
      <c r="H84" s="96"/>
      <c r="I84" s="97" t="s">
        <v>54</v>
      </c>
      <c r="J84" s="97"/>
      <c r="K84" s="8"/>
      <c r="L84" s="216"/>
      <c r="M84" s="9"/>
      <c r="N84" s="38"/>
      <c r="O84" s="10"/>
      <c r="P84" s="8"/>
      <c r="Q84" s="9"/>
      <c r="R84" s="9"/>
      <c r="S84" s="36"/>
      <c r="T84" s="8"/>
      <c r="U84" s="38"/>
      <c r="V84" s="9"/>
      <c r="W84" s="195"/>
      <c r="X84" s="182"/>
      <c r="Y84" s="12"/>
    </row>
    <row r="85" spans="1:25" x14ac:dyDescent="0.3">
      <c r="A85" s="56"/>
      <c r="B85" s="57"/>
      <c r="C85" s="58" t="s">
        <v>107</v>
      </c>
      <c r="D85" s="59"/>
      <c r="E85" s="60"/>
      <c r="F85" s="90"/>
      <c r="G85" s="91"/>
      <c r="H85" s="92"/>
      <c r="I85" s="101"/>
      <c r="J85" s="101"/>
      <c r="K85" s="4"/>
      <c r="L85" s="7"/>
      <c r="M85" s="5"/>
      <c r="N85" s="34"/>
      <c r="O85" s="6"/>
      <c r="P85" s="4"/>
      <c r="Q85" s="5"/>
      <c r="R85" s="5"/>
      <c r="S85" s="32"/>
      <c r="T85" s="4"/>
      <c r="U85" s="34"/>
      <c r="V85" s="5"/>
      <c r="W85" s="193"/>
      <c r="X85" s="184"/>
      <c r="Y85" s="11"/>
    </row>
    <row r="86" spans="1:25" x14ac:dyDescent="0.3">
      <c r="A86" s="80"/>
      <c r="B86" s="81"/>
      <c r="C86" s="66"/>
      <c r="D86" s="79" t="s">
        <v>24</v>
      </c>
      <c r="E86" s="82"/>
      <c r="F86" s="102"/>
      <c r="G86" s="103"/>
      <c r="H86" s="98"/>
      <c r="I86" s="99" t="s">
        <v>77</v>
      </c>
      <c r="J86" s="99" t="s">
        <v>118</v>
      </c>
      <c r="K86" s="18"/>
      <c r="L86" s="26"/>
      <c r="M86" s="19"/>
      <c r="N86" s="214"/>
      <c r="O86" s="20"/>
      <c r="P86" s="18"/>
      <c r="Q86" s="214"/>
      <c r="R86" s="19"/>
      <c r="S86" s="39"/>
      <c r="T86" s="217"/>
      <c r="U86" s="40"/>
      <c r="V86" s="19"/>
      <c r="W86" s="218"/>
      <c r="X86" s="189"/>
      <c r="Y86" s="110"/>
    </row>
    <row r="87" spans="1:25" x14ac:dyDescent="0.3">
      <c r="A87" s="51" t="s">
        <v>94</v>
      </c>
      <c r="B87" s="52" t="s">
        <v>108</v>
      </c>
      <c r="C87" s="53"/>
      <c r="D87" s="54"/>
      <c r="E87" s="55"/>
      <c r="F87" s="86"/>
      <c r="G87" s="87"/>
      <c r="H87" s="88"/>
      <c r="I87" s="154"/>
      <c r="J87" s="154"/>
      <c r="K87" s="13"/>
      <c r="L87" s="14"/>
      <c r="M87" s="14"/>
      <c r="N87" s="14"/>
      <c r="O87" s="15"/>
      <c r="P87" s="13"/>
      <c r="Q87" s="14"/>
      <c r="R87" s="16"/>
      <c r="S87" s="15"/>
      <c r="T87" s="13"/>
      <c r="U87" s="14"/>
      <c r="V87" s="14"/>
      <c r="W87" s="196"/>
      <c r="X87" s="185"/>
      <c r="Y87" s="17"/>
    </row>
    <row r="88" spans="1:25" x14ac:dyDescent="0.3">
      <c r="A88" s="56"/>
      <c r="B88" s="146"/>
      <c r="C88" s="58" t="s">
        <v>109</v>
      </c>
      <c r="D88" s="59"/>
      <c r="E88" s="60"/>
      <c r="F88" s="90"/>
      <c r="G88" s="91"/>
      <c r="H88" s="92"/>
      <c r="I88" s="101"/>
      <c r="J88" s="101"/>
      <c r="K88" s="4"/>
      <c r="L88" s="7"/>
      <c r="M88" s="5"/>
      <c r="N88" s="34"/>
      <c r="O88" s="6"/>
      <c r="P88" s="4"/>
      <c r="Q88" s="5"/>
      <c r="R88" s="5"/>
      <c r="S88" s="32"/>
      <c r="T88" s="4"/>
      <c r="U88" s="34"/>
      <c r="V88" s="5"/>
      <c r="W88" s="193"/>
      <c r="X88" s="184"/>
      <c r="Y88" s="11"/>
    </row>
    <row r="89" spans="1:25" x14ac:dyDescent="0.3">
      <c r="A89" s="56"/>
      <c r="B89" s="146"/>
      <c r="C89" s="121"/>
      <c r="D89" s="131" t="s">
        <v>111</v>
      </c>
      <c r="E89" s="63"/>
      <c r="F89" s="156"/>
      <c r="G89" s="122"/>
      <c r="H89" s="123"/>
      <c r="I89" s="143" t="s">
        <v>55</v>
      </c>
      <c r="J89" s="143"/>
      <c r="K89" s="124"/>
      <c r="L89" s="125"/>
      <c r="M89" s="126"/>
      <c r="N89" s="127"/>
      <c r="O89" s="128"/>
      <c r="P89" s="8"/>
      <c r="Q89" s="126"/>
      <c r="R89" s="126"/>
      <c r="S89" s="129"/>
      <c r="T89" s="124"/>
      <c r="U89" s="127"/>
      <c r="V89" s="126"/>
      <c r="W89" s="219"/>
      <c r="X89" s="186"/>
      <c r="Y89" s="12"/>
    </row>
    <row r="90" spans="1:25" x14ac:dyDescent="0.3">
      <c r="A90" s="56"/>
      <c r="B90" s="146"/>
      <c r="C90" s="121"/>
      <c r="D90" s="131" t="s">
        <v>113</v>
      </c>
      <c r="E90" s="63"/>
      <c r="F90" s="94"/>
      <c r="G90" s="95"/>
      <c r="H90" s="96"/>
      <c r="I90" s="97" t="s">
        <v>112</v>
      </c>
      <c r="J90" s="97"/>
      <c r="K90" s="8"/>
      <c r="L90" s="21"/>
      <c r="M90" s="9"/>
      <c r="N90" s="38"/>
      <c r="O90" s="10"/>
      <c r="P90" s="8"/>
      <c r="Q90" s="9"/>
      <c r="R90" s="9"/>
      <c r="S90" s="36"/>
      <c r="T90" s="8"/>
      <c r="U90" s="38"/>
      <c r="V90" s="9"/>
      <c r="W90" s="215"/>
      <c r="X90" s="182"/>
      <c r="Y90" s="12"/>
    </row>
    <row r="91" spans="1:25" x14ac:dyDescent="0.3">
      <c r="A91" s="56"/>
      <c r="B91" s="146"/>
      <c r="C91" s="61"/>
      <c r="D91" s="131" t="s">
        <v>110</v>
      </c>
      <c r="E91" s="63"/>
      <c r="F91" s="156"/>
      <c r="G91" s="122"/>
      <c r="H91" s="123"/>
      <c r="I91" s="143" t="s">
        <v>55</v>
      </c>
      <c r="J91" s="143"/>
      <c r="K91" s="124"/>
      <c r="L91" s="125"/>
      <c r="M91" s="126"/>
      <c r="N91" s="127"/>
      <c r="O91" s="128"/>
      <c r="P91" s="8"/>
      <c r="Q91" s="126"/>
      <c r="R91" s="126"/>
      <c r="S91" s="129"/>
      <c r="T91" s="124"/>
      <c r="U91" s="127"/>
      <c r="V91" s="126"/>
      <c r="W91" s="219"/>
      <c r="X91" s="186"/>
      <c r="Y91" s="12"/>
    </row>
    <row r="92" spans="1:25" x14ac:dyDescent="0.3">
      <c r="A92" s="56"/>
      <c r="B92" s="146"/>
      <c r="C92" s="121"/>
      <c r="D92" s="131" t="s">
        <v>114</v>
      </c>
      <c r="E92" s="63"/>
      <c r="F92" s="156"/>
      <c r="G92" s="122"/>
      <c r="H92" s="123"/>
      <c r="I92" s="143" t="s">
        <v>55</v>
      </c>
      <c r="J92" s="143"/>
      <c r="K92" s="124"/>
      <c r="L92" s="125"/>
      <c r="M92" s="126"/>
      <c r="N92" s="127"/>
      <c r="O92" s="128"/>
      <c r="P92" s="8"/>
      <c r="Q92" s="126"/>
      <c r="R92" s="126"/>
      <c r="S92" s="129"/>
      <c r="T92" s="124"/>
      <c r="U92" s="127"/>
      <c r="V92" s="126"/>
      <c r="W92" s="219"/>
      <c r="X92" s="186"/>
      <c r="Y92" s="12"/>
    </row>
    <row r="93" spans="1:25" x14ac:dyDescent="0.3">
      <c r="A93" s="56"/>
      <c r="B93" s="146"/>
      <c r="C93" s="121"/>
      <c r="D93" s="131" t="s">
        <v>116</v>
      </c>
      <c r="E93" s="63"/>
      <c r="F93" s="156"/>
      <c r="G93" s="122"/>
      <c r="H93" s="123"/>
      <c r="I93" s="143" t="s">
        <v>115</v>
      </c>
      <c r="J93" s="143"/>
      <c r="K93" s="124"/>
      <c r="L93" s="125"/>
      <c r="M93" s="126"/>
      <c r="N93" s="127"/>
      <c r="O93" s="128"/>
      <c r="P93" s="8"/>
      <c r="Q93" s="126"/>
      <c r="R93" s="126"/>
      <c r="S93" s="129"/>
      <c r="T93" s="124"/>
      <c r="U93" s="127"/>
      <c r="V93" s="126"/>
      <c r="W93" s="219"/>
      <c r="X93" s="186"/>
      <c r="Y93" s="12"/>
    </row>
    <row r="94" spans="1:25" x14ac:dyDescent="0.3">
      <c r="A94" s="56"/>
      <c r="B94" s="146"/>
      <c r="C94" s="61"/>
      <c r="D94" s="62" t="s">
        <v>117</v>
      </c>
      <c r="E94" s="63"/>
      <c r="F94" s="94"/>
      <c r="G94" s="95"/>
      <c r="H94" s="96"/>
      <c r="I94" s="97" t="s">
        <v>115</v>
      </c>
      <c r="J94" s="97"/>
      <c r="K94" s="8"/>
      <c r="L94" s="21"/>
      <c r="M94" s="9"/>
      <c r="N94" s="38"/>
      <c r="O94" s="10"/>
      <c r="P94" s="8"/>
      <c r="Q94" s="9"/>
      <c r="R94" s="9"/>
      <c r="S94" s="36"/>
      <c r="T94" s="8"/>
      <c r="U94" s="38"/>
      <c r="V94" s="9"/>
      <c r="W94" s="215"/>
      <c r="X94" s="182"/>
      <c r="Y94" s="12"/>
    </row>
    <row r="95" spans="1:25" x14ac:dyDescent="0.3">
      <c r="A95" s="56"/>
      <c r="B95" s="57"/>
      <c r="C95" s="58" t="s">
        <v>95</v>
      </c>
      <c r="D95" s="59"/>
      <c r="E95" s="60"/>
      <c r="F95" s="90"/>
      <c r="G95" s="91"/>
      <c r="H95" s="92"/>
      <c r="I95" s="93"/>
      <c r="J95" s="101"/>
      <c r="K95" s="4"/>
      <c r="L95" s="7"/>
      <c r="M95" s="5"/>
      <c r="N95" s="34"/>
      <c r="O95" s="6"/>
      <c r="P95" s="4"/>
      <c r="Q95" s="5"/>
      <c r="R95" s="5"/>
      <c r="S95" s="32"/>
      <c r="T95" s="4"/>
      <c r="U95" s="34"/>
      <c r="V95" s="5"/>
      <c r="W95" s="193"/>
      <c r="X95" s="184"/>
      <c r="Y95" s="11"/>
    </row>
    <row r="96" spans="1:25" x14ac:dyDescent="0.3">
      <c r="A96" s="80"/>
      <c r="B96" s="81"/>
      <c r="C96" s="66"/>
      <c r="D96" s="79" t="s">
        <v>23</v>
      </c>
      <c r="E96" s="82"/>
      <c r="F96" s="102"/>
      <c r="G96" s="103"/>
      <c r="H96" s="98"/>
      <c r="I96" s="99" t="s">
        <v>93</v>
      </c>
      <c r="J96" s="99"/>
      <c r="K96" s="18"/>
      <c r="L96" s="26"/>
      <c r="M96" s="19"/>
      <c r="N96" s="40"/>
      <c r="O96" s="20"/>
      <c r="P96" s="18"/>
      <c r="Q96" s="19"/>
      <c r="R96" s="19"/>
      <c r="S96" s="39"/>
      <c r="T96" s="18"/>
      <c r="U96" s="40"/>
      <c r="V96" s="19"/>
      <c r="W96" s="200"/>
      <c r="X96" s="220"/>
      <c r="Y96" s="110"/>
    </row>
  </sheetData>
  <mergeCells count="10">
    <mergeCell ref="Y3:Y4"/>
    <mergeCell ref="J3:J4"/>
    <mergeCell ref="K3:X3"/>
    <mergeCell ref="A3:A4"/>
    <mergeCell ref="H3:H4"/>
    <mergeCell ref="B3:D4"/>
    <mergeCell ref="E3:E4"/>
    <mergeCell ref="F3:F4"/>
    <mergeCell ref="I3:I4"/>
    <mergeCell ref="G3:G4"/>
  </mergeCells>
  <phoneticPr fontId="20" type="noConversion"/>
  <conditionalFormatting sqref="K43:O43 Q43:X43">
    <cfRule type="expression" dxfId="4" priority="2">
      <formula>AND(K$5&gt;=$E43,K$5&lt;=$F43)</formula>
    </cfRule>
  </conditionalFormatting>
  <conditionalFormatting sqref="K8:W8 K19:X19 K24:X24 K29:P37 Q29:X38 K38:O38 K46:X46 K47:O47 Q47:X47 K50:X50 K51:O51 Q51:X51 K54:X54 K55:O55 Q55:X55 K58:X58 K59:O59 Q59:X59 K62:X62 K63:O63 Q63:X63 K64:X64 K67:X67 K68:O68 Q68:X79 K69:P72 K73:O73 K74:P77 K78:O79 K83:X83 K85:X85 K88:X88 K89:O89 Q89:X89 K91:O93 Q91:X93 K95:X95">
    <cfRule type="expression" dxfId="3" priority="192">
      <formula>AND(K$5&gt;=$E8,K$5&lt;=$F8)</formula>
    </cfRule>
  </conditionalFormatting>
  <conditionalFormatting sqref="K21:X21">
    <cfRule type="expression" dxfId="2" priority="19">
      <formula>AND(K$5&gt;=$E21,K$5&lt;=$F21)</formula>
    </cfRule>
  </conditionalFormatting>
  <conditionalFormatting sqref="P43 K44:X45">
    <cfRule type="expression" dxfId="1" priority="1">
      <formula>AND(K$5&gt;=$E43,K$5&lt;=$F43)</formula>
    </cfRule>
  </conditionalFormatting>
  <conditionalFormatting sqref="X8:X14 K9:W14 K15:X17 K20:X20 T22:X22 K25:X26 K27:M27 O27:X27 P38 K39:X40 K42:X42 P47 K48:X49 P51 K52:X53 P55 K56:X57 P59 K60:X61 P63 K65:X65 P68 P73 P78:P79 K80:X81 K84:X84 K86:X86 P89 K90:X90 P91:P93 K94:X94 K96:X96">
    <cfRule type="expression" dxfId="0" priority="191">
      <formula>AND(K$5&gt;=$E8,K$5&lt;=$F8)</formula>
    </cfRule>
  </conditionalFormatting>
  <dataValidations disablePrompts="1" count="1">
    <dataValidation type="decimal" errorStyle="warning" allowBlank="1" showInputMessage="1" showErrorMessage="1" errorTitle="진도율 입력 오류" error="진도율은 0%~100% 사이의 값을 넣어야 합니다." sqref="H6:H96" xr:uid="{00000000-0002-0000-0000-000000000000}">
      <formula1>0</formula1>
      <formula2>1</formula2>
    </dataValidation>
  </dataValidations>
  <printOptions horizontalCentered="1"/>
  <pageMargins left="0.15748031496062992" right="0.15748031496062992" top="0.98425196850393704" bottom="0.98425196850393704" header="0.59055118110236227" footer="0.59055118110236227"/>
  <pageSetup paperSize="9" scale="80" fitToWidth="0" fitToHeight="0" orientation="landscape" horizontalDpi="300" verticalDpi="300" r:id="rId1"/>
  <headerFooter alignWithMargins="0">
    <oddHeader>&amp;C&amp;"맑은 고딕,굵게"&amp;16&amp;A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4.WBS</vt:lpstr>
    </vt:vector>
  </TitlesOfParts>
  <Company>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daesu Park</dc:creator>
  <cp:lastModifiedBy>최영준</cp:lastModifiedBy>
  <cp:lastPrinted>2026-04-30T02:06:58Z</cp:lastPrinted>
  <dcterms:created xsi:type="dcterms:W3CDTF">2009-02-24T23:49:31Z</dcterms:created>
  <dcterms:modified xsi:type="dcterms:W3CDTF">2026-04-30T02:07:01Z</dcterms:modified>
</cp:coreProperties>
</file>